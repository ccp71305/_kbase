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ily Tracker" sheetId="2" state="visible" r:id="rId2"/>
    <sheet name="Weekly Milestones" sheetId="3" state="visible" r:id="rId3"/>
    <sheet name="Capstones" sheetId="4" state="visible" r:id="rId4"/>
    <sheet name="Exam Prep" sheetId="5" state="visible" r:id="rId5"/>
    <sheet name="Re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ddd dd-mmm-yyyy"/>
  </numFmts>
  <fonts count="19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color rgb="005A6472"/>
      <sz val="10"/>
    </font>
    <font>
      <b val="1"/>
      <color rgb="001F2A44"/>
      <sz val="13"/>
    </font>
    <font>
      <b val="1"/>
      <color rgb="00FFFFFF"/>
      <sz val="10"/>
    </font>
    <font>
      <b val="1"/>
      <color rgb="002E7D32"/>
      <sz val="14"/>
    </font>
    <font>
      <b val="1"/>
      <color rgb="001F2A44"/>
      <sz val="14"/>
    </font>
    <font>
      <b val="1"/>
      <color rgb="002E5AAC"/>
      <sz val="14"/>
    </font>
    <font>
      <b val="1"/>
      <color rgb="00C62828"/>
      <sz val="14"/>
    </font>
    <font>
      <b val="1"/>
      <color rgb="000E7C86"/>
      <sz val="14"/>
    </font>
    <font>
      <color rgb="00222222"/>
      <sz val="10"/>
    </font>
    <font>
      <b val="1"/>
      <color rgb="00222222"/>
      <sz val="10"/>
    </font>
    <font>
      <b val="1"/>
      <color rgb="001F2A44"/>
      <sz val="10"/>
    </font>
    <font>
      <color rgb="00333333"/>
      <sz val="10"/>
    </font>
    <font>
      <color rgb="00222222"/>
      <sz val="9"/>
    </font>
    <font>
      <b val="1"/>
      <color rgb="00222222"/>
      <sz val="9"/>
    </font>
    <font>
      <b val="1"/>
      <color rgb="00FFFFFF"/>
      <sz val="13"/>
    </font>
    <font>
      <i val="1"/>
      <color rgb="005A6472"/>
      <sz val="10"/>
    </font>
  </fonts>
  <fills count="1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E5AAC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0E7C86"/>
      </patternFill>
    </fill>
    <fill>
      <patternFill patternType="solid">
        <fgColor rgb="00ECEFF4"/>
      </patternFill>
    </fill>
    <fill>
      <patternFill patternType="solid">
        <fgColor rgb="00E8EEF7"/>
      </patternFill>
    </fill>
    <fill>
      <patternFill patternType="solid">
        <fgColor rgb="00E6F4F1"/>
      </patternFill>
    </fill>
    <fill>
      <patternFill patternType="solid">
        <fgColor rgb="00FDEEE6"/>
      </patternFill>
    </fill>
    <fill>
      <patternFill patternType="solid">
        <fgColor rgb="00EFE9F6"/>
      </patternFill>
    </fill>
    <fill>
      <patternFill patternType="solid">
        <fgColor rgb="00EAF3E9"/>
      </patternFill>
    </fill>
    <fill>
      <patternFill patternType="solid">
        <fgColor rgb="005A6472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9" fontId="11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7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166" fontId="15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top" wrapText="1"/>
    </xf>
    <xf numFmtId="0" fontId="16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166" fontId="15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top" wrapText="1"/>
    </xf>
    <xf numFmtId="0" fontId="16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166" fontId="15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top" wrapText="1"/>
    </xf>
    <xf numFmtId="0" fontId="16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166" fontId="15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left" vertical="top" wrapText="1"/>
    </xf>
    <xf numFmtId="0" fontId="16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166" fontId="15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7" fillId="3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11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ont>
        <b val="1"/>
        <color rgb="002E7D32"/>
        <sz val="9"/>
      </font>
      <fill>
        <patternFill patternType="solid">
          <fgColor rgb="00C8E6C9"/>
        </patternFill>
      </fill>
    </dxf>
    <dxf>
      <font>
        <b val="1"/>
        <color rgb="008A6D00"/>
        <sz val="9"/>
      </font>
      <fill>
        <patternFill patternType="solid">
          <fgColor rgb="00FFF3C4"/>
        </patternFill>
      </fill>
    </dxf>
    <dxf>
      <font>
        <b val="1"/>
        <color rgb="00C62828"/>
        <sz val="9"/>
      </font>
      <fill>
        <patternFill patternType="solid">
          <fgColor rgb="00F8C9C9"/>
        </patternFill>
      </fill>
    </dxf>
    <dxf>
      <font>
        <b val="1"/>
        <color rgb="002E7D32"/>
        <sz val="10"/>
      </font>
      <fill>
        <patternFill patternType="solid">
          <fgColor rgb="00C8E6C9"/>
        </patternFill>
      </fill>
    </dxf>
    <dxf>
      <fill>
        <patternFill patternType="solid">
          <fgColor rgb="00FFF3C4"/>
        </patternFill>
      </fill>
    </dxf>
    <dxf>
      <fill>
        <patternFill patternType="solid">
          <fgColor rgb="00C8E6C9"/>
        </patternFill>
      </fill>
    </dxf>
    <dxf>
      <fill>
        <patternFill patternType="solid">
          <f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A44"/>
    <outlinePr summaryBelow="1" summaryRight="1"/>
    <pageSetUpPr/>
  </sheetPr>
  <dimension ref="B2:G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2" ht="36" customHeight="1">
      <c r="B2" s="1" t="inlineStr">
        <is>
          <t>🧠  AI ENGINEERING &amp; ML MASTERY — 5-MONTH STUDY TRACKER</t>
        </is>
      </c>
    </row>
    <row r="3">
      <c r="B3" s="2" t="inlineStr">
        <is>
          <t>6 days/week · ~3.5 hrs/day · 20 weeks · Math + Python + ML/DL + AWS (DVA-C02 &amp; SAA-C03)</t>
        </is>
      </c>
    </row>
    <row r="4">
      <c r="B4" s="3" t="inlineStr">
        <is>
          <t>Start: Mon 29 Jun 2026   ·   End: Sat 14 Nov 2026   ·   Update the Daily Tracker each evening — this dashboard auto-updates.</t>
        </is>
      </c>
    </row>
    <row r="6">
      <c r="B6" s="4" t="inlineStr">
        <is>
          <t>📊  PROGRESS</t>
        </is>
      </c>
    </row>
    <row r="7">
      <c r="B7" s="5" t="inlineStr">
        <is>
          <t>Days completed</t>
        </is>
      </c>
      <c r="D7" s="6">
        <f>COUNTIF('Daily Tracker'!J:J,"Done")</f>
        <v/>
      </c>
      <c r="E7" s="3" t="inlineStr">
        <is>
          <t>of</t>
        </is>
      </c>
      <c r="F7" s="7" t="n">
        <v>120</v>
      </c>
    </row>
    <row r="8">
      <c r="B8" s="8" t="inlineStr">
        <is>
          <t>Overall % complete</t>
        </is>
      </c>
      <c r="D8" s="9">
        <f>COUNTIF('Daily Tracker'!J:J,"Done")/120</f>
        <v/>
      </c>
    </row>
    <row r="9">
      <c r="B9" s="10" t="inlineStr">
        <is>
          <t>Days skipped</t>
        </is>
      </c>
      <c r="D9" s="11">
        <f>COUNTIF('Daily Tracker'!J:J,"Skipped")</f>
        <v/>
      </c>
    </row>
    <row r="10">
      <c r="B10" s="12" t="inlineStr">
        <is>
          <t>Hours logged</t>
        </is>
      </c>
      <c r="D10" s="13">
        <f>SUM('Daily Tracker'!I:I)</f>
        <v/>
      </c>
      <c r="E10" s="3" t="inlineStr">
        <is>
          <t>of</t>
        </is>
      </c>
      <c r="F10" s="7">
        <f>SUM('Daily Tracker'!H:H)</f>
        <v/>
      </c>
    </row>
    <row r="13">
      <c r="B13" s="4" t="inlineStr">
        <is>
          <t>🗓️  MONTH-BY-MONTH</t>
        </is>
      </c>
    </row>
    <row r="14">
      <c r="B14" s="14" t="inlineStr">
        <is>
          <t>Month</t>
        </is>
      </c>
      <c r="C14" s="14" t="inlineStr">
        <is>
          <t>Theme</t>
        </is>
      </c>
      <c r="D14" s="14" t="inlineStr">
        <is>
          <t>Weeks</t>
        </is>
      </c>
      <c r="E14" s="14" t="inlineStr">
        <is>
          <t>Days Done</t>
        </is>
      </c>
      <c r="F14" s="14" t="inlineStr">
        <is>
          <t>Total Days</t>
        </is>
      </c>
      <c r="G14" s="14" t="inlineStr">
        <is>
          <t>Progress</t>
        </is>
      </c>
    </row>
    <row r="15">
      <c r="B15" s="15" t="inlineStr">
        <is>
          <t>Month 1</t>
        </is>
      </c>
      <c r="C15" s="16" t="inlineStr">
        <is>
          <t>Foundations: Math + Python</t>
        </is>
      </c>
      <c r="D15" s="17" t="inlineStr">
        <is>
          <t>1–4</t>
        </is>
      </c>
      <c r="E15" s="17">
        <f>COUNTIFS('Daily Tracker'!A:A,"&gt;="&amp;1,'Daily Tracker'!A:A,"&lt;="&amp;4,'Daily Tracker'!J:J,"Done")</f>
        <v/>
      </c>
      <c r="F15" s="17" t="n">
        <v>24</v>
      </c>
      <c r="G15" s="18">
        <f>COUNTIFS('Daily Tracker'!A:A,"&gt;="&amp;1,'Daily Tracker'!A:A,"&lt;="&amp;4,'Daily Tracker'!J:J,"Done")/24</f>
        <v/>
      </c>
    </row>
    <row r="16">
      <c r="B16" s="15" t="inlineStr">
        <is>
          <t>Month 2</t>
        </is>
      </c>
      <c r="C16" s="16" t="inlineStr">
        <is>
          <t>ML Core + AWS Developer begins</t>
        </is>
      </c>
      <c r="D16" s="17" t="inlineStr">
        <is>
          <t>5–8</t>
        </is>
      </c>
      <c r="E16" s="17">
        <f>COUNTIFS('Daily Tracker'!A:A,"&gt;="&amp;5,'Daily Tracker'!A:A,"&lt;="&amp;8,'Daily Tracker'!J:J,"Done")</f>
        <v/>
      </c>
      <c r="F16" s="17" t="n">
        <v>24</v>
      </c>
      <c r="G16" s="18">
        <f>COUNTIFS('Daily Tracker'!A:A,"&gt;="&amp;5,'Daily Tracker'!A:A,"&lt;="&amp;8,'Daily Tracker'!J:J,"Done")/24</f>
        <v/>
      </c>
    </row>
    <row r="17">
      <c r="B17" s="15" t="inlineStr">
        <is>
          <t>Month 3</t>
        </is>
      </c>
      <c r="C17" s="16" t="inlineStr">
        <is>
          <t>Deep Learning + DVA-C02 Exam</t>
        </is>
      </c>
      <c r="D17" s="17" t="inlineStr">
        <is>
          <t>9–13</t>
        </is>
      </c>
      <c r="E17" s="17">
        <f>COUNTIFS('Daily Tracker'!A:A,"&gt;="&amp;9,'Daily Tracker'!A:A,"&lt;="&amp;13,'Daily Tracker'!J:J,"Done")</f>
        <v/>
      </c>
      <c r="F17" s="17" t="n">
        <v>30</v>
      </c>
      <c r="G17" s="18">
        <f>COUNTIFS('Daily Tracker'!A:A,"&gt;="&amp;9,'Daily Tracker'!A:A,"&lt;="&amp;13,'Daily Tracker'!J:J,"Done")/30</f>
        <v/>
      </c>
    </row>
    <row r="18">
      <c r="B18" s="15" t="inlineStr">
        <is>
          <t>Month 4</t>
        </is>
      </c>
      <c r="C18" s="16" t="inlineStr">
        <is>
          <t>Transformers/LLMs + AI Eng + SAA begins</t>
        </is>
      </c>
      <c r="D18" s="17" t="inlineStr">
        <is>
          <t>14–17</t>
        </is>
      </c>
      <c r="E18" s="17">
        <f>COUNTIFS('Daily Tracker'!A:A,"&gt;="&amp;14,'Daily Tracker'!A:A,"&lt;="&amp;17,'Daily Tracker'!J:J,"Done")</f>
        <v/>
      </c>
      <c r="F18" s="17" t="n">
        <v>24</v>
      </c>
      <c r="G18" s="18">
        <f>COUNTIFS('Daily Tracker'!A:A,"&gt;="&amp;14,'Daily Tracker'!A:A,"&lt;="&amp;17,'Daily Tracker'!J:J,"Done")/24</f>
        <v/>
      </c>
    </row>
    <row r="19">
      <c r="B19" s="15" t="inlineStr">
        <is>
          <t>Month 5</t>
        </is>
      </c>
      <c r="C19" s="16" t="inlineStr">
        <is>
          <t>Advanced AI Eng + MLOps + SAA-C03 Exam</t>
        </is>
      </c>
      <c r="D19" s="17" t="inlineStr">
        <is>
          <t>18–20</t>
        </is>
      </c>
      <c r="E19" s="17">
        <f>COUNTIFS('Daily Tracker'!A:A,"&gt;="&amp;18,'Daily Tracker'!A:A,"&lt;="&amp;20,'Daily Tracker'!J:J,"Done")</f>
        <v/>
      </c>
      <c r="F19" s="17" t="n">
        <v>18</v>
      </c>
      <c r="G19" s="18">
        <f>COUNTIFS('Daily Tracker'!A:A,"&gt;="&amp;18,'Daily Tracker'!A:A,"&lt;="&amp;20,'Daily Tracker'!J:J,"Done")/18</f>
        <v/>
      </c>
    </row>
    <row r="22">
      <c r="B22" s="4" t="inlineStr">
        <is>
          <t>🎯  KEY MILESTONES</t>
        </is>
      </c>
    </row>
    <row r="23">
      <c r="B23" s="19" t="inlineStr">
        <is>
          <t>Week 4</t>
        </is>
      </c>
      <c r="C23" s="16" t="inlineStr">
        <is>
          <t>Math foundations + Python track complete · Capstone 1</t>
        </is>
      </c>
    </row>
    <row r="24">
      <c r="B24" s="19" t="inlineStr">
        <is>
          <t>Week 8</t>
        </is>
      </c>
      <c r="C24" s="16" t="inlineStr">
        <is>
          <t>ML core complete · Capstone 2 (sklearn pipeline)</t>
        </is>
      </c>
    </row>
    <row r="25">
      <c r="B25" s="19" t="inlineStr">
        <is>
          <t>Week 13</t>
        </is>
      </c>
      <c r="C25" s="16" t="inlineStr">
        <is>
          <t>🎓 AWS Certified Developer – Associate (DVA-C02)</t>
        </is>
      </c>
    </row>
    <row r="26">
      <c r="B26" s="19" t="inlineStr">
        <is>
          <t>Week 17</t>
        </is>
      </c>
      <c r="C26" s="16" t="inlineStr">
        <is>
          <t>RAG chatbot on AWS Bedrock · Capstone 4</t>
        </is>
      </c>
    </row>
    <row r="27">
      <c r="B27" s="19" t="inlineStr">
        <is>
          <t>Week 20</t>
        </is>
      </c>
      <c r="C27" s="16" t="inlineStr">
        <is>
          <t>🎓 AWS SAA-C03 · Capstone 5 (SageMaker MLOps) · Demo Day</t>
        </is>
      </c>
    </row>
    <row r="30">
      <c r="B30" s="20" t="inlineStr">
        <is>
          <t>How to use:</t>
        </is>
      </c>
    </row>
    <row r="31">
      <c r="B31" s="21" t="inlineStr">
        <is>
          <t>1) Each evening, open the 'Daily Tracker' tab and set today's Status (dropdown) + log Actual Hrs.
2) Every Friday, mark the Week Milestone on the 'Weekly Milestones' tab.
3) Log every practice-exam score on 'Exam Prep' — aim for consistent 85%+ before booking the real exam.
4) Pair this with ACCOUNTABILITY-COACH-PROMPT.md in your personal Claude for weekly check-ins.</t>
        </is>
      </c>
    </row>
    <row r="32"/>
    <row r="33"/>
  </sheetData>
  <mergeCells count="13">
    <mergeCell ref="B3:G3"/>
    <mergeCell ref="B2:G2"/>
    <mergeCell ref="B7:C7"/>
    <mergeCell ref="C24:G24"/>
    <mergeCell ref="B10:C10"/>
    <mergeCell ref="C25:G25"/>
    <mergeCell ref="C27:G27"/>
    <mergeCell ref="B4:G4"/>
    <mergeCell ref="B31:G33"/>
    <mergeCell ref="C23:G23"/>
    <mergeCell ref="B9:C9"/>
    <mergeCell ref="B8:C8"/>
    <mergeCell ref="C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AAC"/>
    <outlinePr summaryBelow="1" summaryRight="1"/>
    <pageSetUpPr/>
  </sheetPr>
  <dimension ref="A1:K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3" customWidth="1" min="3" max="3"/>
    <col width="7" customWidth="1" min="4" max="4"/>
    <col width="26" customWidth="1" min="5" max="5"/>
    <col width="52" customWidth="1" min="6" max="6"/>
    <col width="46" customWidth="1" min="7" max="7"/>
    <col width="7" customWidth="1" min="8" max="8"/>
    <col width="8" customWidth="1" min="9" max="9"/>
    <col width="14" customWidth="1" min="10" max="10"/>
    <col width="30" customWidth="1" min="11" max="11"/>
  </cols>
  <sheetData>
    <row r="1" ht="22" customHeight="1">
      <c r="A1" s="22" t="inlineStr">
        <is>
          <t>Wk</t>
        </is>
      </c>
      <c r="B1" s="22" t="inlineStr">
        <is>
          <t>Day</t>
        </is>
      </c>
      <c r="C1" s="22" t="inlineStr">
        <is>
          <t>Date</t>
        </is>
      </c>
      <c r="D1" s="22" t="inlineStr">
        <is>
          <t>DoW</t>
        </is>
      </c>
      <c r="E1" s="22" t="inlineStr">
        <is>
          <t>Pillar / Theme</t>
        </is>
      </c>
      <c r="F1" s="22" t="inlineStr">
        <is>
          <t>Morning Block (2.0h)</t>
        </is>
      </c>
      <c r="G1" s="22" t="inlineStr">
        <is>
          <t>Evening Block (1.5h)</t>
        </is>
      </c>
      <c r="H1" s="22" t="inlineStr">
        <is>
          <t>Plan h</t>
        </is>
      </c>
      <c r="I1" s="22" t="inlineStr">
        <is>
          <t>Actual h</t>
        </is>
      </c>
      <c r="J1" s="22" t="inlineStr">
        <is>
          <t>Status</t>
        </is>
      </c>
      <c r="K1" s="22" t="inlineStr">
        <is>
          <t>Notes</t>
        </is>
      </c>
    </row>
    <row r="2" ht="42" customHeight="1">
      <c r="A2" s="23" t="n">
        <v>1</v>
      </c>
      <c r="B2" s="24" t="inlineStr">
        <is>
          <t>Mon</t>
        </is>
      </c>
      <c r="C2" s="25" t="n">
        <v>46202</v>
      </c>
      <c r="D2" s="24" t="inlineStr">
        <is>
          <t>Mon</t>
        </is>
      </c>
      <c r="E2" s="24" t="inlineStr">
        <is>
          <t>Foundations: Math + Python</t>
        </is>
      </c>
      <c r="F2" s="26" t="inlineStr">
        <is>
          <t>📖 Linear Algebra — read core concepts + notes (Pt 1)
[aimath/01-linear-algebra.md]</t>
        </is>
      </c>
      <c r="G2" s="26" t="inlineStr">
        <is>
          <t>💻 Code along with Linear Algebra examples</t>
        </is>
      </c>
      <c r="H2" s="24" t="n">
        <v>3.5</v>
      </c>
      <c r="I2" s="24" t="n"/>
      <c r="J2" s="24" t="inlineStr">
        <is>
          <t>Not Started</t>
        </is>
      </c>
      <c r="K2" s="26" t="n"/>
    </row>
    <row r="3" ht="42" customHeight="1">
      <c r="A3" s="23" t="n">
        <v>1</v>
      </c>
      <c r="B3" s="24" t="inlineStr">
        <is>
          <t>Tue</t>
        </is>
      </c>
      <c r="C3" s="25" t="n">
        <v>46203</v>
      </c>
      <c r="D3" s="24" t="inlineStr">
        <is>
          <t>Tue</t>
        </is>
      </c>
      <c r="E3" s="24" t="inlineStr">
        <is>
          <t>Foundations: Math + Python</t>
        </is>
      </c>
      <c r="F3" s="26" t="inlineStr">
        <is>
          <t>📖 Linear Algebra — concepts Pt 2 + work examples BY HAND</t>
        </is>
      </c>
      <c r="G3" s="26" t="inlineStr">
        <is>
          <t>📖 Python Foundations for AI — intro + code along
[aipython/01-python-foundations-for-ai.md]</t>
        </is>
      </c>
      <c r="H3" s="24" t="n">
        <v>3.5</v>
      </c>
      <c r="I3" s="24" t="n"/>
      <c r="J3" s="24" t="inlineStr">
        <is>
          <t>Not Started</t>
        </is>
      </c>
      <c r="K3" s="26" t="n"/>
    </row>
    <row r="4" ht="42" customHeight="1">
      <c r="A4" s="23" t="n">
        <v>1</v>
      </c>
      <c r="B4" s="24" t="inlineStr">
        <is>
          <t>Wed</t>
        </is>
      </c>
      <c r="C4" s="25" t="n">
        <v>46204</v>
      </c>
      <c r="D4" s="24" t="inlineStr">
        <is>
          <t>Wed</t>
        </is>
      </c>
      <c r="E4" s="24" t="inlineStr">
        <is>
          <t>Foundations: Math + Python</t>
        </is>
      </c>
      <c r="F4" s="26" t="inlineStr">
        <is>
          <t>🔬 Linear Algebra — deep dive on the hardest subtopic</t>
        </is>
      </c>
      <c r="G4" s="26" t="inlineStr">
        <is>
          <t>🏋️ Linear Algebra — exercises 1–3 (check solutions)</t>
        </is>
      </c>
      <c r="H4" s="24" t="n">
        <v>3.5</v>
      </c>
      <c r="I4" s="24" t="n"/>
      <c r="J4" s="24" t="inlineStr">
        <is>
          <t>Not Started</t>
        </is>
      </c>
      <c r="K4" s="26" t="n"/>
    </row>
    <row r="5" ht="42" customHeight="1">
      <c r="A5" s="23" t="n">
        <v>1</v>
      </c>
      <c r="B5" s="24" t="inlineStr">
        <is>
          <t>Thu</t>
        </is>
      </c>
      <c r="C5" s="25" t="n">
        <v>46205</v>
      </c>
      <c r="D5" s="24" t="inlineStr">
        <is>
          <t>Thu</t>
        </is>
      </c>
      <c r="E5" s="24" t="inlineStr">
        <is>
          <t>Foundations: Math + Python</t>
        </is>
      </c>
      <c r="F5" s="26" t="inlineStr">
        <is>
          <t>📖 Python Foundations for AI — deep dive + worked examples</t>
        </is>
      </c>
      <c r="G5" s="26" t="inlineStr">
        <is>
          <t>💻 Python Foundations for AI — code along + exercises</t>
        </is>
      </c>
      <c r="H5" s="24" t="n">
        <v>3.5</v>
      </c>
      <c r="I5" s="24" t="n"/>
      <c r="J5" s="24" t="inlineStr">
        <is>
          <t>Not Started</t>
        </is>
      </c>
      <c r="K5" s="26" t="n"/>
    </row>
    <row r="6" ht="42" customHeight="1">
      <c r="A6" s="23" t="n">
        <v>1</v>
      </c>
      <c r="B6" s="24" t="inlineStr">
        <is>
          <t>Fri</t>
        </is>
      </c>
      <c r="C6" s="25" t="n">
        <v>46206</v>
      </c>
      <c r="D6" s="24" t="inlineStr">
        <is>
          <t>Fri</t>
        </is>
      </c>
      <c r="E6" s="24" t="inlineStr">
        <is>
          <t>Foundations: Math + Python</t>
        </is>
      </c>
      <c r="F6" s="26" t="inlineStr">
        <is>
          <t>🧮 Linear Algebra — from-scratch implementation / integrate</t>
        </is>
      </c>
      <c r="G6" s="26" t="inlineStr">
        <is>
          <t>❓ Quiz BOTH topics + make spaced-rep flashcards</t>
        </is>
      </c>
      <c r="H6" s="24" t="n">
        <v>3.5</v>
      </c>
      <c r="I6" s="24" t="n"/>
      <c r="J6" s="24" t="inlineStr">
        <is>
          <t>Not Started</t>
        </is>
      </c>
      <c r="K6" s="26" t="n"/>
    </row>
    <row r="7" ht="42" customHeight="1">
      <c r="A7" s="23" t="n">
        <v>1</v>
      </c>
      <c r="B7" s="24" t="inlineStr">
        <is>
          <t>Sat</t>
        </is>
      </c>
      <c r="C7" s="25" t="n">
        <v>46207</v>
      </c>
      <c r="D7" s="24" t="inlineStr">
        <is>
          <t>Sat</t>
        </is>
      </c>
      <c r="E7" s="24" t="inlineStr">
        <is>
          <t>Foundations: Math + Python</t>
        </is>
      </c>
      <c r="F7" s="26" t="inlineStr">
        <is>
          <t>🔁 Weekly review — redo missed Qs, explain aloud (Feynman)</t>
        </is>
      </c>
      <c r="G7" s="26" t="inlineStr">
        <is>
          <t>🚀 Mini-project increment + plan next week</t>
        </is>
      </c>
      <c r="H7" s="24" t="n">
        <v>3.5</v>
      </c>
      <c r="I7" s="24" t="n"/>
      <c r="J7" s="24" t="inlineStr">
        <is>
          <t>Not Started</t>
        </is>
      </c>
      <c r="K7" s="26" t="n"/>
    </row>
    <row r="8" ht="42" customHeight="1">
      <c r="A8" s="23" t="n">
        <v>2</v>
      </c>
      <c r="B8" s="24" t="inlineStr">
        <is>
          <t>Mon</t>
        </is>
      </c>
      <c r="C8" s="25" t="n">
        <v>46209</v>
      </c>
      <c r="D8" s="24" t="inlineStr">
        <is>
          <t>Mon</t>
        </is>
      </c>
      <c r="E8" s="24" t="inlineStr">
        <is>
          <t>Foundations: Math + Python</t>
        </is>
      </c>
      <c r="F8" s="26" t="inlineStr">
        <is>
          <t>📖 Calculus &amp; Optimization — read core concepts + notes (Pt 1)
[aimath/02-calculus-optimization.md]</t>
        </is>
      </c>
      <c r="G8" s="26" t="inlineStr">
        <is>
          <t>💻 Code along with Calculus &amp; Optimization examples</t>
        </is>
      </c>
      <c r="H8" s="24" t="n">
        <v>3.5</v>
      </c>
      <c r="I8" s="24" t="n"/>
      <c r="J8" s="24" t="inlineStr">
        <is>
          <t>Not Started</t>
        </is>
      </c>
      <c r="K8" s="26" t="n"/>
    </row>
    <row r="9" ht="42" customHeight="1">
      <c r="A9" s="23" t="n">
        <v>2</v>
      </c>
      <c r="B9" s="24" t="inlineStr">
        <is>
          <t>Tue</t>
        </is>
      </c>
      <c r="C9" s="25" t="n">
        <v>46210</v>
      </c>
      <c r="D9" s="24" t="inlineStr">
        <is>
          <t>Tue</t>
        </is>
      </c>
      <c r="E9" s="24" t="inlineStr">
        <is>
          <t>Foundations: Math + Python</t>
        </is>
      </c>
      <c r="F9" s="26" t="inlineStr">
        <is>
          <t>📖 Calculus &amp; Optimization — concepts Pt 2 + work examples BY HAND</t>
        </is>
      </c>
      <c r="G9" s="26" t="inlineStr">
        <is>
          <t>📖 NumPy &amp; Pandas — intro + code along
[aipython/02-numpy-pandas-data.md]</t>
        </is>
      </c>
      <c r="H9" s="24" t="n">
        <v>3.5</v>
      </c>
      <c r="I9" s="24" t="n"/>
      <c r="J9" s="24" t="inlineStr">
        <is>
          <t>Not Started</t>
        </is>
      </c>
      <c r="K9" s="26" t="n"/>
    </row>
    <row r="10" ht="42" customHeight="1">
      <c r="A10" s="23" t="n">
        <v>2</v>
      </c>
      <c r="B10" s="24" t="inlineStr">
        <is>
          <t>Wed</t>
        </is>
      </c>
      <c r="C10" s="25" t="n">
        <v>46211</v>
      </c>
      <c r="D10" s="24" t="inlineStr">
        <is>
          <t>Wed</t>
        </is>
      </c>
      <c r="E10" s="24" t="inlineStr">
        <is>
          <t>Foundations: Math + Python</t>
        </is>
      </c>
      <c r="F10" s="26" t="inlineStr">
        <is>
          <t>🔬 Calculus &amp; Optimization — deep dive on the hardest subtopic</t>
        </is>
      </c>
      <c r="G10" s="26" t="inlineStr">
        <is>
          <t>🏋️ Calculus &amp; Optimization — exercises 1–3 (check solutions)</t>
        </is>
      </c>
      <c r="H10" s="24" t="n">
        <v>3.5</v>
      </c>
      <c r="I10" s="24" t="n"/>
      <c r="J10" s="24" t="inlineStr">
        <is>
          <t>Not Started</t>
        </is>
      </c>
      <c r="K10" s="26" t="n"/>
    </row>
    <row r="11" ht="42" customHeight="1">
      <c r="A11" s="23" t="n">
        <v>2</v>
      </c>
      <c r="B11" s="24" t="inlineStr">
        <is>
          <t>Thu</t>
        </is>
      </c>
      <c r="C11" s="25" t="n">
        <v>46212</v>
      </c>
      <c r="D11" s="24" t="inlineStr">
        <is>
          <t>Thu</t>
        </is>
      </c>
      <c r="E11" s="24" t="inlineStr">
        <is>
          <t>Foundations: Math + Python</t>
        </is>
      </c>
      <c r="F11" s="26" t="inlineStr">
        <is>
          <t>📖 NumPy &amp; Pandas — deep dive + worked examples</t>
        </is>
      </c>
      <c r="G11" s="26" t="inlineStr">
        <is>
          <t>💻 NumPy &amp; Pandas — code along + exercises</t>
        </is>
      </c>
      <c r="H11" s="24" t="n">
        <v>3.5</v>
      </c>
      <c r="I11" s="24" t="n"/>
      <c r="J11" s="24" t="inlineStr">
        <is>
          <t>Not Started</t>
        </is>
      </c>
      <c r="K11" s="26" t="n"/>
    </row>
    <row r="12" ht="42" customHeight="1">
      <c r="A12" s="23" t="n">
        <v>2</v>
      </c>
      <c r="B12" s="24" t="inlineStr">
        <is>
          <t>Fri</t>
        </is>
      </c>
      <c r="C12" s="25" t="n">
        <v>46213</v>
      </c>
      <c r="D12" s="24" t="inlineStr">
        <is>
          <t>Fri</t>
        </is>
      </c>
      <c r="E12" s="24" t="inlineStr">
        <is>
          <t>Foundations: Math + Python</t>
        </is>
      </c>
      <c r="F12" s="26" t="inlineStr">
        <is>
          <t>🧮 Calculus &amp; Optimization — from-scratch implementation / integrate</t>
        </is>
      </c>
      <c r="G12" s="26" t="inlineStr">
        <is>
          <t>❓ Quiz BOTH topics + make spaced-rep flashcards</t>
        </is>
      </c>
      <c r="H12" s="24" t="n">
        <v>3.5</v>
      </c>
      <c r="I12" s="24" t="n"/>
      <c r="J12" s="24" t="inlineStr">
        <is>
          <t>Not Started</t>
        </is>
      </c>
      <c r="K12" s="26" t="n"/>
    </row>
    <row r="13" ht="42" customHeight="1">
      <c r="A13" s="23" t="n">
        <v>2</v>
      </c>
      <c r="B13" s="24" t="inlineStr">
        <is>
          <t>Sat</t>
        </is>
      </c>
      <c r="C13" s="25" t="n">
        <v>46214</v>
      </c>
      <c r="D13" s="24" t="inlineStr">
        <is>
          <t>Sat</t>
        </is>
      </c>
      <c r="E13" s="24" t="inlineStr">
        <is>
          <t>Foundations: Math + Python</t>
        </is>
      </c>
      <c r="F13" s="26" t="inlineStr">
        <is>
          <t>🔁 Weekly review — redo missed Qs, explain aloud (Feynman)</t>
        </is>
      </c>
      <c r="G13" s="26" t="inlineStr">
        <is>
          <t>🚀 Mini-project increment + plan next week</t>
        </is>
      </c>
      <c r="H13" s="24" t="n">
        <v>3.5</v>
      </c>
      <c r="I13" s="24" t="n"/>
      <c r="J13" s="24" t="inlineStr">
        <is>
          <t>Not Started</t>
        </is>
      </c>
      <c r="K13" s="26" t="n"/>
    </row>
    <row r="14" ht="42" customHeight="1">
      <c r="A14" s="23" t="n">
        <v>3</v>
      </c>
      <c r="B14" s="24" t="inlineStr">
        <is>
          <t>Mon</t>
        </is>
      </c>
      <c r="C14" s="25" t="n">
        <v>46216</v>
      </c>
      <c r="D14" s="24" t="inlineStr">
        <is>
          <t>Mon</t>
        </is>
      </c>
      <c r="E14" s="24" t="inlineStr">
        <is>
          <t>Foundations: Math + Python</t>
        </is>
      </c>
      <c r="F14" s="26" t="inlineStr">
        <is>
          <t>📖 Probability &amp; Statistics — read core concepts + notes (Pt 1)
[aimath/03-probability-statistics.md]</t>
        </is>
      </c>
      <c r="G14" s="26" t="inlineStr">
        <is>
          <t>💻 Code along with Probability &amp; Statistics examples</t>
        </is>
      </c>
      <c r="H14" s="24" t="n">
        <v>3.5</v>
      </c>
      <c r="I14" s="24" t="n"/>
      <c r="J14" s="24" t="inlineStr">
        <is>
          <t>Not Started</t>
        </is>
      </c>
      <c r="K14" s="26" t="n"/>
    </row>
    <row r="15" ht="42" customHeight="1">
      <c r="A15" s="23" t="n">
        <v>3</v>
      </c>
      <c r="B15" s="24" t="inlineStr">
        <is>
          <t>Tue</t>
        </is>
      </c>
      <c r="C15" s="25" t="n">
        <v>46217</v>
      </c>
      <c r="D15" s="24" t="inlineStr">
        <is>
          <t>Tue</t>
        </is>
      </c>
      <c r="E15" s="24" t="inlineStr">
        <is>
          <t>Foundations: Math + Python</t>
        </is>
      </c>
      <c r="F15" s="26" t="inlineStr">
        <is>
          <t>📖 Probability &amp; Statistics — concepts Pt 2 + work examples BY HAND</t>
        </is>
      </c>
      <c r="G15" s="26" t="inlineStr">
        <is>
          <t>📖 Visualization &amp; EDA — intro + code along
[aipython/03-visualization-eda.md]</t>
        </is>
      </c>
      <c r="H15" s="24" t="n">
        <v>3.5</v>
      </c>
      <c r="I15" s="24" t="n"/>
      <c r="J15" s="24" t="inlineStr">
        <is>
          <t>Not Started</t>
        </is>
      </c>
      <c r="K15" s="26" t="n"/>
    </row>
    <row r="16" ht="42" customHeight="1">
      <c r="A16" s="23" t="n">
        <v>3</v>
      </c>
      <c r="B16" s="24" t="inlineStr">
        <is>
          <t>Wed</t>
        </is>
      </c>
      <c r="C16" s="25" t="n">
        <v>46218</v>
      </c>
      <c r="D16" s="24" t="inlineStr">
        <is>
          <t>Wed</t>
        </is>
      </c>
      <c r="E16" s="24" t="inlineStr">
        <is>
          <t>Foundations: Math + Python</t>
        </is>
      </c>
      <c r="F16" s="26" t="inlineStr">
        <is>
          <t>🔬 Probability &amp; Statistics — deep dive on the hardest subtopic</t>
        </is>
      </c>
      <c r="G16" s="26" t="inlineStr">
        <is>
          <t>🏋️ Probability &amp; Statistics — exercises 1–3 (check solutions)</t>
        </is>
      </c>
      <c r="H16" s="24" t="n">
        <v>3.5</v>
      </c>
      <c r="I16" s="24" t="n"/>
      <c r="J16" s="24" t="inlineStr">
        <is>
          <t>Not Started</t>
        </is>
      </c>
      <c r="K16" s="26" t="n"/>
    </row>
    <row r="17" ht="42" customHeight="1">
      <c r="A17" s="23" t="n">
        <v>3</v>
      </c>
      <c r="B17" s="24" t="inlineStr">
        <is>
          <t>Thu</t>
        </is>
      </c>
      <c r="C17" s="25" t="n">
        <v>46219</v>
      </c>
      <c r="D17" s="24" t="inlineStr">
        <is>
          <t>Thu</t>
        </is>
      </c>
      <c r="E17" s="24" t="inlineStr">
        <is>
          <t>Foundations: Math + Python</t>
        </is>
      </c>
      <c r="F17" s="26" t="inlineStr">
        <is>
          <t>📖 Visualization &amp; EDA — deep dive + worked examples</t>
        </is>
      </c>
      <c r="G17" s="26" t="inlineStr">
        <is>
          <t>💻 Visualization &amp; EDA — code along + exercises</t>
        </is>
      </c>
      <c r="H17" s="24" t="n">
        <v>3.5</v>
      </c>
      <c r="I17" s="24" t="n"/>
      <c r="J17" s="24" t="inlineStr">
        <is>
          <t>Not Started</t>
        </is>
      </c>
      <c r="K17" s="26" t="n"/>
    </row>
    <row r="18" ht="42" customHeight="1">
      <c r="A18" s="23" t="n">
        <v>3</v>
      </c>
      <c r="B18" s="24" t="inlineStr">
        <is>
          <t>Fri</t>
        </is>
      </c>
      <c r="C18" s="25" t="n">
        <v>46220</v>
      </c>
      <c r="D18" s="24" t="inlineStr">
        <is>
          <t>Fri</t>
        </is>
      </c>
      <c r="E18" s="24" t="inlineStr">
        <is>
          <t>Foundations: Math + Python</t>
        </is>
      </c>
      <c r="F18" s="26" t="inlineStr">
        <is>
          <t>🧮 Probability &amp; Statistics — from-scratch implementation / integrate</t>
        </is>
      </c>
      <c r="G18" s="26" t="inlineStr">
        <is>
          <t>❓ Quiz BOTH topics + make spaced-rep flashcards</t>
        </is>
      </c>
      <c r="H18" s="24" t="n">
        <v>3.5</v>
      </c>
      <c r="I18" s="24" t="n"/>
      <c r="J18" s="24" t="inlineStr">
        <is>
          <t>Not Started</t>
        </is>
      </c>
      <c r="K18" s="26" t="n"/>
    </row>
    <row r="19" ht="42" customHeight="1">
      <c r="A19" s="23" t="n">
        <v>3</v>
      </c>
      <c r="B19" s="24" t="inlineStr">
        <is>
          <t>Sat</t>
        </is>
      </c>
      <c r="C19" s="25" t="n">
        <v>46221</v>
      </c>
      <c r="D19" s="24" t="inlineStr">
        <is>
          <t>Sat</t>
        </is>
      </c>
      <c r="E19" s="24" t="inlineStr">
        <is>
          <t>Foundations: Math + Python</t>
        </is>
      </c>
      <c r="F19" s="26" t="inlineStr">
        <is>
          <t>🔁 Weekly review — redo missed Qs, explain aloud (Feynman)</t>
        </is>
      </c>
      <c r="G19" s="26" t="inlineStr">
        <is>
          <t>🚀 Mini-project increment + plan next week</t>
        </is>
      </c>
      <c r="H19" s="24" t="n">
        <v>3.5</v>
      </c>
      <c r="I19" s="24" t="n"/>
      <c r="J19" s="24" t="inlineStr">
        <is>
          <t>Not Started</t>
        </is>
      </c>
      <c r="K19" s="26" t="n"/>
    </row>
    <row r="20" ht="42" customHeight="1">
      <c r="A20" s="23" t="n">
        <v>4</v>
      </c>
      <c r="B20" s="24" t="inlineStr">
        <is>
          <t>Mon</t>
        </is>
      </c>
      <c r="C20" s="25" t="n">
        <v>46223</v>
      </c>
      <c r="D20" s="24" t="inlineStr">
        <is>
          <t>Mon</t>
        </is>
      </c>
      <c r="E20" s="24" t="inlineStr">
        <is>
          <t>Foundations: Math + Python</t>
        </is>
      </c>
      <c r="F20" s="26" t="inlineStr">
        <is>
          <t>📖 Information Theory &amp; Graphs — entropy, cross-entropy, KL</t>
        </is>
      </c>
      <c r="G20" s="26" t="inlineStr">
        <is>
          <t>💻 scikit-learn API + a first Pipeline</t>
        </is>
      </c>
      <c r="H20" s="24" t="n">
        <v>3.5</v>
      </c>
      <c r="I20" s="24" t="n"/>
      <c r="J20" s="24" t="inlineStr">
        <is>
          <t>Not Started</t>
        </is>
      </c>
      <c r="K20" s="26" t="n"/>
    </row>
    <row r="21" ht="42" customHeight="1">
      <c r="A21" s="23" t="n">
        <v>4</v>
      </c>
      <c r="B21" s="24" t="inlineStr">
        <is>
          <t>Tue</t>
        </is>
      </c>
      <c r="C21" s="25" t="n">
        <v>46224</v>
      </c>
      <c r="D21" s="24" t="inlineStr">
        <is>
          <t>Tue</t>
        </is>
      </c>
      <c r="E21" s="24" t="inlineStr">
        <is>
          <t>Foundations: Math + Python</t>
        </is>
      </c>
      <c r="F21" s="26" t="inlineStr">
        <is>
          <t>📖 Info gain (decision trees) + Markov chains</t>
        </is>
      </c>
      <c r="G21" s="26" t="inlineStr">
        <is>
          <t>💻 ColumnTransformer + cross-validation</t>
        </is>
      </c>
      <c r="H21" s="24" t="n">
        <v>3.5</v>
      </c>
      <c r="I21" s="24" t="n"/>
      <c r="J21" s="24" t="inlineStr">
        <is>
          <t>Not Started</t>
        </is>
      </c>
      <c r="K21" s="26" t="n"/>
    </row>
    <row r="22" ht="42" customHeight="1">
      <c r="A22" s="23" t="n">
        <v>4</v>
      </c>
      <c r="B22" s="24" t="inlineStr">
        <is>
          <t>Wed</t>
        </is>
      </c>
      <c r="C22" s="25" t="n">
        <v>46225</v>
      </c>
      <c r="D22" s="24" t="inlineStr">
        <is>
          <t>Wed</t>
        </is>
      </c>
      <c r="E22" s="24" t="inlineStr">
        <is>
          <t>Foundations: Math + Python</t>
        </is>
      </c>
      <c r="F22" s="26" t="inlineStr">
        <is>
          <t>🔬 Graphs/Laplacian + MDP preview</t>
        </is>
      </c>
      <c r="G22" s="26" t="inlineStr">
        <is>
          <t>🏋️ sklearn metrics &amp; model selection exercises</t>
        </is>
      </c>
      <c r="H22" s="24" t="n">
        <v>3.5</v>
      </c>
      <c r="I22" s="24" t="n"/>
      <c r="J22" s="24" t="inlineStr">
        <is>
          <t>Not Started</t>
        </is>
      </c>
      <c r="K22" s="26" t="n"/>
    </row>
    <row r="23" ht="42" customHeight="1">
      <c r="A23" s="23" t="n">
        <v>4</v>
      </c>
      <c r="B23" s="24" t="inlineStr">
        <is>
          <t>Thu</t>
        </is>
      </c>
      <c r="C23" s="25" t="n">
        <v>46226</v>
      </c>
      <c r="D23" s="24" t="inlineStr">
        <is>
          <t>Thu</t>
        </is>
      </c>
      <c r="E23" s="24" t="inlineStr">
        <is>
          <t>Foundations: Math + Python</t>
        </is>
      </c>
      <c r="F23" s="26" t="inlineStr">
        <is>
          <t>🚀 CAPSTONE 1: design linear regression from scratch</t>
        </is>
      </c>
      <c r="G23" s="26" t="inlineStr">
        <is>
          <t>💻 CAPSTONE 1: implement OLS + gradient descent (NumPy)</t>
        </is>
      </c>
      <c r="H23" s="24" t="n">
        <v>3.5</v>
      </c>
      <c r="I23" s="24" t="n"/>
      <c r="J23" s="24" t="inlineStr">
        <is>
          <t>Not Started</t>
        </is>
      </c>
      <c r="K23" s="26" t="n"/>
    </row>
    <row r="24" ht="42" customHeight="1">
      <c r="A24" s="23" t="n">
        <v>4</v>
      </c>
      <c r="B24" s="24" t="inlineStr">
        <is>
          <t>Fri</t>
        </is>
      </c>
      <c r="C24" s="25" t="n">
        <v>46227</v>
      </c>
      <c r="D24" s="24" t="inlineStr">
        <is>
          <t>Fri</t>
        </is>
      </c>
      <c r="E24" s="24" t="inlineStr">
        <is>
          <t>Foundations: Math + Python</t>
        </is>
      </c>
      <c r="F24" s="26" t="inlineStr">
        <is>
          <t>💻 CAPSTONE 1: verify vs sklearn; plot loss curve</t>
        </is>
      </c>
      <c r="G24" s="26" t="inlineStr">
        <is>
          <t>📝 CAPSTONE 1: write up + ❓ month-1 quiz</t>
        </is>
      </c>
      <c r="H24" s="24" t="n">
        <v>3.5</v>
      </c>
      <c r="I24" s="24" t="n"/>
      <c r="J24" s="24" t="inlineStr">
        <is>
          <t>Not Started</t>
        </is>
      </c>
      <c r="K24" s="26" t="n"/>
    </row>
    <row r="25" ht="42" customHeight="1">
      <c r="A25" s="23" t="n">
        <v>4</v>
      </c>
      <c r="B25" s="24" t="inlineStr">
        <is>
          <t>Sat</t>
        </is>
      </c>
      <c r="C25" s="25" t="n">
        <v>46228</v>
      </c>
      <c r="D25" s="24" t="inlineStr">
        <is>
          <t>Sat</t>
        </is>
      </c>
      <c r="E25" s="24" t="inlineStr">
        <is>
          <t>Foundations: Math + Python</t>
        </is>
      </c>
      <c r="F25" s="26" t="inlineStr">
        <is>
          <t>🔁 Month 1 review — math + python</t>
        </is>
      </c>
      <c r="G25" s="26" t="inlineStr">
        <is>
          <t>🎤 Demo Capstone 1; plan Month 2</t>
        </is>
      </c>
      <c r="H25" s="24" t="n">
        <v>3.5</v>
      </c>
      <c r="I25" s="24" t="n"/>
      <c r="J25" s="24" t="inlineStr">
        <is>
          <t>Not Started</t>
        </is>
      </c>
      <c r="K25" s="26" t="n"/>
    </row>
    <row r="26" ht="42" customHeight="1">
      <c r="A26" s="27" t="n">
        <v>5</v>
      </c>
      <c r="B26" s="28" t="inlineStr">
        <is>
          <t>Mon</t>
        </is>
      </c>
      <c r="C26" s="29" t="n">
        <v>46230</v>
      </c>
      <c r="D26" s="28" t="inlineStr">
        <is>
          <t>Mon</t>
        </is>
      </c>
      <c r="E26" s="28" t="inlineStr">
        <is>
          <t>ML Core + AWS Dev begins</t>
        </is>
      </c>
      <c r="F26" s="30" t="inlineStr">
        <is>
          <t>📖 ML Fundamentals — read core concepts + notes (Pt 1)
[aideepmachinelearning/01-ml-fundamentals.md]</t>
        </is>
      </c>
      <c r="G26" s="30" t="inlineStr">
        <is>
          <t>💻 Code along with ML Fundamentals examples</t>
        </is>
      </c>
      <c r="H26" s="28" t="n">
        <v>3.5</v>
      </c>
      <c r="I26" s="28" t="n"/>
      <c r="J26" s="28" t="inlineStr">
        <is>
          <t>Not Started</t>
        </is>
      </c>
      <c r="K26" s="30" t="n"/>
    </row>
    <row r="27" ht="42" customHeight="1">
      <c r="A27" s="27" t="n">
        <v>5</v>
      </c>
      <c r="B27" s="28" t="inlineStr">
        <is>
          <t>Tue</t>
        </is>
      </c>
      <c r="C27" s="29" t="n">
        <v>46231</v>
      </c>
      <c r="D27" s="28" t="inlineStr">
        <is>
          <t>Tue</t>
        </is>
      </c>
      <c r="E27" s="28" t="inlineStr">
        <is>
          <t>ML Core + AWS Dev begins</t>
        </is>
      </c>
      <c r="F27" s="30" t="inlineStr">
        <is>
          <t>📖 ML Fundamentals — concepts Pt 2 + work examples BY HAND</t>
        </is>
      </c>
      <c r="G27" s="30" t="inlineStr">
        <is>
          <t>📖 PyTorch Basics — intro + code along
[aipython/05-pytorch-deep-learning.md]</t>
        </is>
      </c>
      <c r="H27" s="28" t="n">
        <v>3.5</v>
      </c>
      <c r="I27" s="28" t="n"/>
      <c r="J27" s="28" t="inlineStr">
        <is>
          <t>Not Started</t>
        </is>
      </c>
      <c r="K27" s="30" t="n"/>
    </row>
    <row r="28" ht="42" customHeight="1">
      <c r="A28" s="27" t="n">
        <v>5</v>
      </c>
      <c r="B28" s="28" t="inlineStr">
        <is>
          <t>Wed</t>
        </is>
      </c>
      <c r="C28" s="29" t="n">
        <v>46232</v>
      </c>
      <c r="D28" s="28" t="inlineStr">
        <is>
          <t>Wed</t>
        </is>
      </c>
      <c r="E28" s="28" t="inlineStr">
        <is>
          <t>ML Core + AWS Dev begins</t>
        </is>
      </c>
      <c r="F28" s="30" t="inlineStr">
        <is>
          <t>🔬 ML Fundamentals — deep dive on the hardest subtopic</t>
        </is>
      </c>
      <c r="G28" s="30" t="inlineStr">
        <is>
          <t>🏋️ ML Fundamentals — exercises 1–3 (check solutions)</t>
        </is>
      </c>
      <c r="H28" s="28" t="n">
        <v>3.5</v>
      </c>
      <c r="I28" s="28" t="n"/>
      <c r="J28" s="28" t="inlineStr">
        <is>
          <t>Not Started</t>
        </is>
      </c>
      <c r="K28" s="30" t="n"/>
    </row>
    <row r="29" ht="42" customHeight="1">
      <c r="A29" s="27" t="n">
        <v>5</v>
      </c>
      <c r="B29" s="28" t="inlineStr">
        <is>
          <t>Thu</t>
        </is>
      </c>
      <c r="C29" s="29" t="n">
        <v>46233</v>
      </c>
      <c r="D29" s="28" t="inlineStr">
        <is>
          <t>Thu</t>
        </is>
      </c>
      <c r="E29" s="28" t="inlineStr">
        <is>
          <t>ML Core + AWS Dev begins</t>
        </is>
      </c>
      <c r="F29" s="30" t="inlineStr">
        <is>
          <t>📖 PyTorch Basics — deep dive + worked examples</t>
        </is>
      </c>
      <c r="G29" s="30" t="inlineStr">
        <is>
          <t>💻 PyTorch Basics — code along + exercises</t>
        </is>
      </c>
      <c r="H29" s="28" t="n">
        <v>3.5</v>
      </c>
      <c r="I29" s="28" t="n"/>
      <c r="J29" s="28" t="inlineStr">
        <is>
          <t>Not Started</t>
        </is>
      </c>
      <c r="K29" s="30" t="n"/>
    </row>
    <row r="30" ht="42" customHeight="1">
      <c r="A30" s="27" t="n">
        <v>5</v>
      </c>
      <c r="B30" s="28" t="inlineStr">
        <is>
          <t>Fri</t>
        </is>
      </c>
      <c r="C30" s="29" t="n">
        <v>46234</v>
      </c>
      <c r="D30" s="28" t="inlineStr">
        <is>
          <t>Fri</t>
        </is>
      </c>
      <c r="E30" s="28" t="inlineStr">
        <is>
          <t>ML Core + AWS Dev begins</t>
        </is>
      </c>
      <c r="F30" s="30" t="inlineStr">
        <is>
          <t>🧮 ML Fundamentals — from-scratch implementation / integrate</t>
        </is>
      </c>
      <c r="G30" s="30" t="inlineStr">
        <is>
          <t>❓ Quiz BOTH topics + make spaced-rep flashcards</t>
        </is>
      </c>
      <c r="H30" s="28" t="n">
        <v>3.5</v>
      </c>
      <c r="I30" s="28" t="n"/>
      <c r="J30" s="28" t="inlineStr">
        <is>
          <t>Not Started</t>
        </is>
      </c>
      <c r="K30" s="30" t="n"/>
    </row>
    <row r="31" ht="42" customHeight="1">
      <c r="A31" s="27" t="n">
        <v>5</v>
      </c>
      <c r="B31" s="28" t="inlineStr">
        <is>
          <t>Sat</t>
        </is>
      </c>
      <c r="C31" s="29" t="n">
        <v>46235</v>
      </c>
      <c r="D31" s="28" t="inlineStr">
        <is>
          <t>Sat</t>
        </is>
      </c>
      <c r="E31" s="28" t="inlineStr">
        <is>
          <t>ML Core + AWS Dev begins</t>
        </is>
      </c>
      <c r="F31" s="30" t="inlineStr">
        <is>
          <t>🔁 Weekly review — redo missed Qs, explain aloud (Feynman)</t>
        </is>
      </c>
      <c r="G31" s="30" t="inlineStr">
        <is>
          <t>🚀 Mini-project increment + plan next week</t>
        </is>
      </c>
      <c r="H31" s="28" t="n">
        <v>3.5</v>
      </c>
      <c r="I31" s="28" t="n"/>
      <c r="J31" s="28" t="inlineStr">
        <is>
          <t>Not Started</t>
        </is>
      </c>
      <c r="K31" s="30" t="n"/>
    </row>
    <row r="32" ht="42" customHeight="1">
      <c r="A32" s="27" t="n">
        <v>6</v>
      </c>
      <c r="B32" s="28" t="inlineStr">
        <is>
          <t>Mon</t>
        </is>
      </c>
      <c r="C32" s="29" t="n">
        <v>46237</v>
      </c>
      <c r="D32" s="28" t="inlineStr">
        <is>
          <t>Mon</t>
        </is>
      </c>
      <c r="E32" s="28" t="inlineStr">
        <is>
          <t>ML Core + AWS Dev begins</t>
        </is>
      </c>
      <c r="F32" s="30" t="inlineStr">
        <is>
          <t>📖 Supervised Learning Algorithms — read core concepts + notes (Pt 1)
[aideepmachinelearning/02-supervised-learning-algorithms.md]</t>
        </is>
      </c>
      <c r="G32" s="30" t="inlineStr">
        <is>
          <t>💻 Code along with Supervised Learning Algorithms examples</t>
        </is>
      </c>
      <c r="H32" s="28" t="n">
        <v>3.5</v>
      </c>
      <c r="I32" s="28" t="n"/>
      <c r="J32" s="28" t="inlineStr">
        <is>
          <t>Not Started</t>
        </is>
      </c>
      <c r="K32" s="30" t="n"/>
    </row>
    <row r="33" ht="42" customHeight="1">
      <c r="A33" s="27" t="n">
        <v>6</v>
      </c>
      <c r="B33" s="28" t="inlineStr">
        <is>
          <t>Tue</t>
        </is>
      </c>
      <c r="C33" s="29" t="n">
        <v>46238</v>
      </c>
      <c r="D33" s="28" t="inlineStr">
        <is>
          <t>Tue</t>
        </is>
      </c>
      <c r="E33" s="28" t="inlineStr">
        <is>
          <t>ML Core + AWS Dev begins</t>
        </is>
      </c>
      <c r="F33" s="30" t="inlineStr">
        <is>
          <t>📖 Supervised Learning Algorithms — concepts Pt 2 + work examples BY HAND</t>
        </is>
      </c>
      <c r="G33" s="30" t="inlineStr">
        <is>
          <t>📖 AI Engineering in Python (LLM APIs) — intro + code along
[aipython/06-ai-engineering-llms-python.md]</t>
        </is>
      </c>
      <c r="H33" s="28" t="n">
        <v>3.5</v>
      </c>
      <c r="I33" s="28" t="n"/>
      <c r="J33" s="28" t="inlineStr">
        <is>
          <t>Not Started</t>
        </is>
      </c>
      <c r="K33" s="30" t="n"/>
    </row>
    <row r="34" ht="42" customHeight="1">
      <c r="A34" s="27" t="n">
        <v>6</v>
      </c>
      <c r="B34" s="28" t="inlineStr">
        <is>
          <t>Wed</t>
        </is>
      </c>
      <c r="C34" s="29" t="n">
        <v>46239</v>
      </c>
      <c r="D34" s="28" t="inlineStr">
        <is>
          <t>Wed</t>
        </is>
      </c>
      <c r="E34" s="28" t="inlineStr">
        <is>
          <t>ML Core + AWS Dev begins</t>
        </is>
      </c>
      <c r="F34" s="30" t="inlineStr">
        <is>
          <t>🔬 Supervised Learning Algorithms — deep dive on the hardest subtopic</t>
        </is>
      </c>
      <c r="G34" s="30" t="inlineStr">
        <is>
          <t>🏋️ Supervised Learning Algorithms — exercises 1–3 (check solutions)</t>
        </is>
      </c>
      <c r="H34" s="28" t="n">
        <v>3.5</v>
      </c>
      <c r="I34" s="28" t="n"/>
      <c r="J34" s="28" t="inlineStr">
        <is>
          <t>Not Started</t>
        </is>
      </c>
      <c r="K34" s="30" t="n"/>
    </row>
    <row r="35" ht="42" customHeight="1">
      <c r="A35" s="27" t="n">
        <v>6</v>
      </c>
      <c r="B35" s="28" t="inlineStr">
        <is>
          <t>Thu</t>
        </is>
      </c>
      <c r="C35" s="29" t="n">
        <v>46240</v>
      </c>
      <c r="D35" s="28" t="inlineStr">
        <is>
          <t>Thu</t>
        </is>
      </c>
      <c r="E35" s="28" t="inlineStr">
        <is>
          <t>ML Core + AWS Dev begins</t>
        </is>
      </c>
      <c r="F35" s="30" t="inlineStr">
        <is>
          <t>📖 AI Engineering in Python (LLM APIs) — deep dive + worked examples</t>
        </is>
      </c>
      <c r="G35" s="30" t="inlineStr">
        <is>
          <t>💻 AI Engineering in Python (LLM APIs) — code along + exercises</t>
        </is>
      </c>
      <c r="H35" s="28" t="n">
        <v>3.5</v>
      </c>
      <c r="I35" s="28" t="n"/>
      <c r="J35" s="28" t="inlineStr">
        <is>
          <t>Not Started</t>
        </is>
      </c>
      <c r="K35" s="30" t="n"/>
    </row>
    <row r="36" ht="42" customHeight="1">
      <c r="A36" s="27" t="n">
        <v>6</v>
      </c>
      <c r="B36" s="28" t="inlineStr">
        <is>
          <t>Fri</t>
        </is>
      </c>
      <c r="C36" s="29" t="n">
        <v>46241</v>
      </c>
      <c r="D36" s="28" t="inlineStr">
        <is>
          <t>Fri</t>
        </is>
      </c>
      <c r="E36" s="28" t="inlineStr">
        <is>
          <t>ML Core + AWS Dev begins</t>
        </is>
      </c>
      <c r="F36" s="30" t="inlineStr">
        <is>
          <t>🧮 Supervised Learning Algorithms — from-scratch implementation / integrate</t>
        </is>
      </c>
      <c r="G36" s="30" t="inlineStr">
        <is>
          <t>❓ Quiz BOTH topics + make spaced-rep flashcards</t>
        </is>
      </c>
      <c r="H36" s="28" t="n">
        <v>3.5</v>
      </c>
      <c r="I36" s="28" t="n"/>
      <c r="J36" s="28" t="inlineStr">
        <is>
          <t>Not Started</t>
        </is>
      </c>
      <c r="K36" s="30" t="n"/>
    </row>
    <row r="37" ht="42" customHeight="1">
      <c r="A37" s="27" t="n">
        <v>6</v>
      </c>
      <c r="B37" s="28" t="inlineStr">
        <is>
          <t>Sat</t>
        </is>
      </c>
      <c r="C37" s="29" t="n">
        <v>46242</v>
      </c>
      <c r="D37" s="28" t="inlineStr">
        <is>
          <t>Sat</t>
        </is>
      </c>
      <c r="E37" s="28" t="inlineStr">
        <is>
          <t>ML Core + AWS Dev begins</t>
        </is>
      </c>
      <c r="F37" s="30" t="inlineStr">
        <is>
          <t>🔁 Weekly review — redo missed Qs, explain aloud (Feynman)</t>
        </is>
      </c>
      <c r="G37" s="30" t="inlineStr">
        <is>
          <t>🚀 Mini-project increment + plan next week</t>
        </is>
      </c>
      <c r="H37" s="28" t="n">
        <v>3.5</v>
      </c>
      <c r="I37" s="28" t="n"/>
      <c r="J37" s="28" t="inlineStr">
        <is>
          <t>Not Started</t>
        </is>
      </c>
      <c r="K37" s="30" t="n"/>
    </row>
    <row r="38" ht="42" customHeight="1">
      <c r="A38" s="27" t="n">
        <v>7</v>
      </c>
      <c r="B38" s="28" t="inlineStr">
        <is>
          <t>Mon</t>
        </is>
      </c>
      <c r="C38" s="29" t="n">
        <v>46244</v>
      </c>
      <c r="D38" s="28" t="inlineStr">
        <is>
          <t>Mon</t>
        </is>
      </c>
      <c r="E38" s="28" t="inlineStr">
        <is>
          <t>ML Core + AWS Dev begins</t>
        </is>
      </c>
      <c r="F38" s="30" t="inlineStr">
        <is>
          <t>📖 Unsupervised &amp; Dimensionality Reduction — read core concepts + notes (Pt 1)
[aideepmachinelearning/03-unsupervised-dimensionality-reduction.md]</t>
        </is>
      </c>
      <c r="G38" s="30" t="inlineStr">
        <is>
          <t>💻 Code along with Unsupervised &amp; Dimensionality Reduction examples</t>
        </is>
      </c>
      <c r="H38" s="28" t="n">
        <v>3.5</v>
      </c>
      <c r="I38" s="28" t="n"/>
      <c r="J38" s="28" t="inlineStr">
        <is>
          <t>Not Started</t>
        </is>
      </c>
      <c r="K38" s="30" t="n"/>
    </row>
    <row r="39" ht="42" customHeight="1">
      <c r="A39" s="27" t="n">
        <v>7</v>
      </c>
      <c r="B39" s="28" t="inlineStr">
        <is>
          <t>Tue</t>
        </is>
      </c>
      <c r="C39" s="29" t="n">
        <v>46245</v>
      </c>
      <c r="D39" s="28" t="inlineStr">
        <is>
          <t>Tue</t>
        </is>
      </c>
      <c r="E39" s="28" t="inlineStr">
        <is>
          <t>ML Core + AWS Dev begins</t>
        </is>
      </c>
      <c r="F39" s="30" t="inlineStr">
        <is>
          <t>📖 Unsupervised &amp; Dimensionality Reduction — concepts Pt 2 + work examples BY HAND</t>
        </is>
      </c>
      <c r="G39" s="30" t="inlineStr">
        <is>
          <t>📖 AWS DVA-C02: Lambda / API GW / DynamoDB — intro + code along
[awscert/01-aws-developer-associate-dva-c02.md]</t>
        </is>
      </c>
      <c r="H39" s="28" t="n">
        <v>3.5</v>
      </c>
      <c r="I39" s="28" t="n"/>
      <c r="J39" s="28" t="inlineStr">
        <is>
          <t>Not Started</t>
        </is>
      </c>
      <c r="K39" s="30" t="n"/>
    </row>
    <row r="40" ht="42" customHeight="1">
      <c r="A40" s="27" t="n">
        <v>7</v>
      </c>
      <c r="B40" s="28" t="inlineStr">
        <is>
          <t>Wed</t>
        </is>
      </c>
      <c r="C40" s="29" t="n">
        <v>46246</v>
      </c>
      <c r="D40" s="28" t="inlineStr">
        <is>
          <t>Wed</t>
        </is>
      </c>
      <c r="E40" s="28" t="inlineStr">
        <is>
          <t>ML Core + AWS Dev begins</t>
        </is>
      </c>
      <c r="F40" s="30" t="inlineStr">
        <is>
          <t>🔬 Unsupervised &amp; Dimensionality Reduction — deep dive on the hardest subtopic</t>
        </is>
      </c>
      <c r="G40" s="30" t="inlineStr">
        <is>
          <t>🏋️ Unsupervised &amp; Dimensionality Reduction — exercises 1–3 (check solutions)</t>
        </is>
      </c>
      <c r="H40" s="28" t="n">
        <v>3.5</v>
      </c>
      <c r="I40" s="28" t="n"/>
      <c r="J40" s="28" t="inlineStr">
        <is>
          <t>Not Started</t>
        </is>
      </c>
      <c r="K40" s="30" t="n"/>
    </row>
    <row r="41" ht="42" customHeight="1">
      <c r="A41" s="27" t="n">
        <v>7</v>
      </c>
      <c r="B41" s="28" t="inlineStr">
        <is>
          <t>Thu</t>
        </is>
      </c>
      <c r="C41" s="29" t="n">
        <v>46247</v>
      </c>
      <c r="D41" s="28" t="inlineStr">
        <is>
          <t>Thu</t>
        </is>
      </c>
      <c r="E41" s="28" t="inlineStr">
        <is>
          <t>ML Core + AWS Dev begins</t>
        </is>
      </c>
      <c r="F41" s="30" t="inlineStr">
        <is>
          <t>📖 AWS DVA-C02: Lambda / API GW / DynamoDB — deep dive + worked examples</t>
        </is>
      </c>
      <c r="G41" s="30" t="inlineStr">
        <is>
          <t>💻 AWS DVA-C02: Lambda / API GW / DynamoDB — code along + exercises</t>
        </is>
      </c>
      <c r="H41" s="28" t="n">
        <v>3.5</v>
      </c>
      <c r="I41" s="28" t="n"/>
      <c r="J41" s="28" t="inlineStr">
        <is>
          <t>Not Started</t>
        </is>
      </c>
      <c r="K41" s="30" t="n"/>
    </row>
    <row r="42" ht="42" customHeight="1">
      <c r="A42" s="27" t="n">
        <v>7</v>
      </c>
      <c r="B42" s="28" t="inlineStr">
        <is>
          <t>Fri</t>
        </is>
      </c>
      <c r="C42" s="29" t="n">
        <v>46248</v>
      </c>
      <c r="D42" s="28" t="inlineStr">
        <is>
          <t>Fri</t>
        </is>
      </c>
      <c r="E42" s="28" t="inlineStr">
        <is>
          <t>ML Core + AWS Dev begins</t>
        </is>
      </c>
      <c r="F42" s="30" t="inlineStr">
        <is>
          <t>🧮 Unsupervised &amp; Dimensionality Reduction — from-scratch implementation / integrate</t>
        </is>
      </c>
      <c r="G42" s="30" t="inlineStr">
        <is>
          <t>❓ Quiz BOTH topics + make spaced-rep flashcards</t>
        </is>
      </c>
      <c r="H42" s="28" t="n">
        <v>3.5</v>
      </c>
      <c r="I42" s="28" t="n"/>
      <c r="J42" s="28" t="inlineStr">
        <is>
          <t>Not Started</t>
        </is>
      </c>
      <c r="K42" s="30" t="n"/>
    </row>
    <row r="43" ht="42" customHeight="1">
      <c r="A43" s="27" t="n">
        <v>7</v>
      </c>
      <c r="B43" s="28" t="inlineStr">
        <is>
          <t>Sat</t>
        </is>
      </c>
      <c r="C43" s="29" t="n">
        <v>46249</v>
      </c>
      <c r="D43" s="28" t="inlineStr">
        <is>
          <t>Sat</t>
        </is>
      </c>
      <c r="E43" s="28" t="inlineStr">
        <is>
          <t>ML Core + AWS Dev begins</t>
        </is>
      </c>
      <c r="F43" s="30" t="inlineStr">
        <is>
          <t>🔁 Weekly review — redo missed Qs, explain aloud (Feynman)</t>
        </is>
      </c>
      <c r="G43" s="30" t="inlineStr">
        <is>
          <t>🚀 Mini-project increment + plan next week</t>
        </is>
      </c>
      <c r="H43" s="28" t="n">
        <v>3.5</v>
      </c>
      <c r="I43" s="28" t="n"/>
      <c r="J43" s="28" t="inlineStr">
        <is>
          <t>Not Started</t>
        </is>
      </c>
      <c r="K43" s="30" t="n"/>
    </row>
    <row r="44" ht="42" customHeight="1">
      <c r="A44" s="27" t="n">
        <v>8</v>
      </c>
      <c r="B44" s="28" t="inlineStr">
        <is>
          <t>Mon</t>
        </is>
      </c>
      <c r="C44" s="29" t="n">
        <v>46251</v>
      </c>
      <c r="D44" s="28" t="inlineStr">
        <is>
          <t>Mon</t>
        </is>
      </c>
      <c r="E44" s="28" t="inlineStr">
        <is>
          <t>ML Core + AWS Dev begins</t>
        </is>
      </c>
      <c r="F44" s="30" t="inlineStr">
        <is>
          <t>📖 DVA: Deployment — CodePipeline/SAM/CloudFormation</t>
        </is>
      </c>
      <c r="G44" s="30" t="inlineStr">
        <is>
          <t>💻 Capstone 2: scope + data prep</t>
        </is>
      </c>
      <c r="H44" s="28" t="n">
        <v>3.5</v>
      </c>
      <c r="I44" s="28" t="n"/>
      <c r="J44" s="28" t="inlineStr">
        <is>
          <t>Not Started</t>
        </is>
      </c>
      <c r="K44" s="30" t="n"/>
    </row>
    <row r="45" ht="42" customHeight="1">
      <c r="A45" s="27" t="n">
        <v>8</v>
      </c>
      <c r="B45" s="28" t="inlineStr">
        <is>
          <t>Tue</t>
        </is>
      </c>
      <c r="C45" s="29" t="n">
        <v>46252</v>
      </c>
      <c r="D45" s="28" t="inlineStr">
        <is>
          <t>Tue</t>
        </is>
      </c>
      <c r="E45" s="28" t="inlineStr">
        <is>
          <t>ML Core + AWS Dev begins</t>
        </is>
      </c>
      <c r="F45" s="30" t="inlineStr">
        <is>
          <t>📖 DVA: Security — IAM/KMS/Secrets Manager</t>
        </is>
      </c>
      <c r="G45" s="30" t="inlineStr">
        <is>
          <t>💻 Capstone 2: build leakage-free pipeline</t>
        </is>
      </c>
      <c r="H45" s="28" t="n">
        <v>3.5</v>
      </c>
      <c r="I45" s="28" t="n"/>
      <c r="J45" s="28" t="inlineStr">
        <is>
          <t>Not Started</t>
        </is>
      </c>
      <c r="K45" s="30" t="n"/>
    </row>
    <row r="46" ht="42" customHeight="1">
      <c r="A46" s="27" t="n">
        <v>8</v>
      </c>
      <c r="B46" s="28" t="inlineStr">
        <is>
          <t>Wed</t>
        </is>
      </c>
      <c r="C46" s="29" t="n">
        <v>46253</v>
      </c>
      <c r="D46" s="28" t="inlineStr">
        <is>
          <t>Wed</t>
        </is>
      </c>
      <c r="E46" s="28" t="inlineStr">
        <is>
          <t>ML Core + AWS Dev begins</t>
        </is>
      </c>
      <c r="F46" s="30" t="inlineStr">
        <is>
          <t>🏋️ DVA: deployment/security practice questions</t>
        </is>
      </c>
      <c r="G46" s="30" t="inlineStr">
        <is>
          <t>💻 Capstone 2: model selection + tuning (CV)</t>
        </is>
      </c>
      <c r="H46" s="28" t="n">
        <v>3.5</v>
      </c>
      <c r="I46" s="28" t="n"/>
      <c r="J46" s="28" t="inlineStr">
        <is>
          <t>Not Started</t>
        </is>
      </c>
      <c r="K46" s="30" t="n"/>
    </row>
    <row r="47" ht="42" customHeight="1">
      <c r="A47" s="27" t="n">
        <v>8</v>
      </c>
      <c r="B47" s="28" t="inlineStr">
        <is>
          <t>Thu</t>
        </is>
      </c>
      <c r="C47" s="29" t="n">
        <v>46254</v>
      </c>
      <c r="D47" s="28" t="inlineStr">
        <is>
          <t>Thu</t>
        </is>
      </c>
      <c r="E47" s="28" t="inlineStr">
        <is>
          <t>ML Core + AWS Dev begins</t>
        </is>
      </c>
      <c r="F47" s="30" t="inlineStr">
        <is>
          <t>📖 DVA: Troubleshooting — CloudWatch/X-Ray</t>
        </is>
      </c>
      <c r="G47" s="30" t="inlineStr">
        <is>
          <t>📊 Capstone 2: evaluation + error analysis</t>
        </is>
      </c>
      <c r="H47" s="28" t="n">
        <v>3.5</v>
      </c>
      <c r="I47" s="28" t="n"/>
      <c r="J47" s="28" t="inlineStr">
        <is>
          <t>Not Started</t>
        </is>
      </c>
      <c r="K47" s="30" t="n"/>
    </row>
    <row r="48" ht="42" customHeight="1">
      <c r="A48" s="27" t="n">
        <v>8</v>
      </c>
      <c r="B48" s="28" t="inlineStr">
        <is>
          <t>Fri</t>
        </is>
      </c>
      <c r="C48" s="29" t="n">
        <v>46255</v>
      </c>
      <c r="D48" s="28" t="inlineStr">
        <is>
          <t>Fri</t>
        </is>
      </c>
      <c r="E48" s="28" t="inlineStr">
        <is>
          <t>ML Core + AWS Dev begins</t>
        </is>
      </c>
      <c r="F48" s="30" t="inlineStr">
        <is>
          <t>❓ DVA mixed quiz (all 4 domains)</t>
        </is>
      </c>
      <c r="G48" s="30" t="inlineStr">
        <is>
          <t>📝 Capstone 2: write up + polish</t>
        </is>
      </c>
      <c r="H48" s="28" t="n">
        <v>3.5</v>
      </c>
      <c r="I48" s="28" t="n"/>
      <c r="J48" s="28" t="inlineStr">
        <is>
          <t>Not Started</t>
        </is>
      </c>
      <c r="K48" s="30" t="n"/>
    </row>
    <row r="49" ht="42" customHeight="1">
      <c r="A49" s="27" t="n">
        <v>8</v>
      </c>
      <c r="B49" s="28" t="inlineStr">
        <is>
          <t>Sat</t>
        </is>
      </c>
      <c r="C49" s="29" t="n">
        <v>46256</v>
      </c>
      <c r="D49" s="28" t="inlineStr">
        <is>
          <t>Sat</t>
        </is>
      </c>
      <c r="E49" s="28" t="inlineStr">
        <is>
          <t>ML Core + AWS Dev begins</t>
        </is>
      </c>
      <c r="F49" s="30" t="inlineStr">
        <is>
          <t>🔁 Month 2 review</t>
        </is>
      </c>
      <c r="G49" s="30" t="inlineStr">
        <is>
          <t>🎤 Demo Capstone 2; plan Month 3</t>
        </is>
      </c>
      <c r="H49" s="28" t="n">
        <v>3.5</v>
      </c>
      <c r="I49" s="28" t="n"/>
      <c r="J49" s="28" t="inlineStr">
        <is>
          <t>Not Started</t>
        </is>
      </c>
      <c r="K49" s="30" t="n"/>
    </row>
    <row r="50" ht="42" customHeight="1">
      <c r="A50" s="31" t="n">
        <v>9</v>
      </c>
      <c r="B50" s="32" t="inlineStr">
        <is>
          <t>Mon</t>
        </is>
      </c>
      <c r="C50" s="33" t="n">
        <v>46258</v>
      </c>
      <c r="D50" s="32" t="inlineStr">
        <is>
          <t>Mon</t>
        </is>
      </c>
      <c r="E50" s="32" t="inlineStr">
        <is>
          <t>Deep Learning + DVA Exam</t>
        </is>
      </c>
      <c r="F50" s="34" t="inlineStr">
        <is>
          <t>📖 Deep Learning Fundamentals — read core concepts + notes (Pt 1)
[aideepmachinelearning/04-deep-learning-neural-networks.md]</t>
        </is>
      </c>
      <c r="G50" s="34" t="inlineStr">
        <is>
          <t>💻 Code along with Deep Learning Fundamentals examples</t>
        </is>
      </c>
      <c r="H50" s="32" t="n">
        <v>3.5</v>
      </c>
      <c r="I50" s="32" t="n"/>
      <c r="J50" s="32" t="inlineStr">
        <is>
          <t>Not Started</t>
        </is>
      </c>
      <c r="K50" s="34" t="n"/>
    </row>
    <row r="51" ht="42" customHeight="1">
      <c r="A51" s="31" t="n">
        <v>9</v>
      </c>
      <c r="B51" s="32" t="inlineStr">
        <is>
          <t>Tue</t>
        </is>
      </c>
      <c r="C51" s="33" t="n">
        <v>46259</v>
      </c>
      <c r="D51" s="32" t="inlineStr">
        <is>
          <t>Tue</t>
        </is>
      </c>
      <c r="E51" s="32" t="inlineStr">
        <is>
          <t>Deep Learning + DVA Exam</t>
        </is>
      </c>
      <c r="F51" s="34" t="inlineStr">
        <is>
          <t>📖 Deep Learning Fundamentals — concepts Pt 2 + work examples BY HAND</t>
        </is>
      </c>
      <c r="G51" s="34" t="inlineStr">
        <is>
          <t>📖 DVA practice questions — intro + code along
[awscert/04-aws-exam-strategy-practice.md]</t>
        </is>
      </c>
      <c r="H51" s="32" t="n">
        <v>3.5</v>
      </c>
      <c r="I51" s="32" t="n"/>
      <c r="J51" s="32" t="inlineStr">
        <is>
          <t>Not Started</t>
        </is>
      </c>
      <c r="K51" s="34" t="n"/>
    </row>
    <row r="52" ht="42" customHeight="1">
      <c r="A52" s="31" t="n">
        <v>9</v>
      </c>
      <c r="B52" s="32" t="inlineStr">
        <is>
          <t>Wed</t>
        </is>
      </c>
      <c r="C52" s="33" t="n">
        <v>46260</v>
      </c>
      <c r="D52" s="32" t="inlineStr">
        <is>
          <t>Wed</t>
        </is>
      </c>
      <c r="E52" s="32" t="inlineStr">
        <is>
          <t>Deep Learning + DVA Exam</t>
        </is>
      </c>
      <c r="F52" s="34" t="inlineStr">
        <is>
          <t>🔬 Deep Learning Fundamentals — deep dive on the hardest subtopic</t>
        </is>
      </c>
      <c r="G52" s="34" t="inlineStr">
        <is>
          <t>🏋️ Deep Learning Fundamentals — exercises 1–3 (check solutions)</t>
        </is>
      </c>
      <c r="H52" s="32" t="n">
        <v>3.5</v>
      </c>
      <c r="I52" s="32" t="n"/>
      <c r="J52" s="32" t="inlineStr">
        <is>
          <t>Not Started</t>
        </is>
      </c>
      <c r="K52" s="34" t="n"/>
    </row>
    <row r="53" ht="42" customHeight="1">
      <c r="A53" s="31" t="n">
        <v>9</v>
      </c>
      <c r="B53" s="32" t="inlineStr">
        <is>
          <t>Thu</t>
        </is>
      </c>
      <c r="C53" s="33" t="n">
        <v>46261</v>
      </c>
      <c r="D53" s="32" t="inlineStr">
        <is>
          <t>Thu</t>
        </is>
      </c>
      <c r="E53" s="32" t="inlineStr">
        <is>
          <t>Deep Learning + DVA Exam</t>
        </is>
      </c>
      <c r="F53" s="34" t="inlineStr">
        <is>
          <t>📖 DVA practice questions — deep dive + worked examples</t>
        </is>
      </c>
      <c r="G53" s="34" t="inlineStr">
        <is>
          <t>💻 DVA practice questions — code along + exercises</t>
        </is>
      </c>
      <c r="H53" s="32" t="n">
        <v>3.5</v>
      </c>
      <c r="I53" s="32" t="n"/>
      <c r="J53" s="32" t="inlineStr">
        <is>
          <t>Not Started</t>
        </is>
      </c>
      <c r="K53" s="34" t="n"/>
    </row>
    <row r="54" ht="42" customHeight="1">
      <c r="A54" s="31" t="n">
        <v>9</v>
      </c>
      <c r="B54" s="32" t="inlineStr">
        <is>
          <t>Fri</t>
        </is>
      </c>
      <c r="C54" s="33" t="n">
        <v>46262</v>
      </c>
      <c r="D54" s="32" t="inlineStr">
        <is>
          <t>Fri</t>
        </is>
      </c>
      <c r="E54" s="32" t="inlineStr">
        <is>
          <t>Deep Learning + DVA Exam</t>
        </is>
      </c>
      <c r="F54" s="34" t="inlineStr">
        <is>
          <t>🧮 Deep Learning Fundamentals — from-scratch implementation / integrate</t>
        </is>
      </c>
      <c r="G54" s="34" t="inlineStr">
        <is>
          <t>❓ Quiz BOTH topics + make spaced-rep flashcards</t>
        </is>
      </c>
      <c r="H54" s="32" t="n">
        <v>3.5</v>
      </c>
      <c r="I54" s="32" t="n"/>
      <c r="J54" s="32" t="inlineStr">
        <is>
          <t>Not Started</t>
        </is>
      </c>
      <c r="K54" s="34" t="n"/>
    </row>
    <row r="55" ht="42" customHeight="1">
      <c r="A55" s="31" t="n">
        <v>9</v>
      </c>
      <c r="B55" s="32" t="inlineStr">
        <is>
          <t>Sat</t>
        </is>
      </c>
      <c r="C55" s="33" t="n">
        <v>46263</v>
      </c>
      <c r="D55" s="32" t="inlineStr">
        <is>
          <t>Sat</t>
        </is>
      </c>
      <c r="E55" s="32" t="inlineStr">
        <is>
          <t>Deep Learning + DVA Exam</t>
        </is>
      </c>
      <c r="F55" s="34" t="inlineStr">
        <is>
          <t>🔁 Weekly review — redo missed Qs, explain aloud (Feynman)</t>
        </is>
      </c>
      <c r="G55" s="34" t="inlineStr">
        <is>
          <t>🚀 Mini-project increment + plan next week</t>
        </is>
      </c>
      <c r="H55" s="32" t="n">
        <v>3.5</v>
      </c>
      <c r="I55" s="32" t="n"/>
      <c r="J55" s="32" t="inlineStr">
        <is>
          <t>Not Started</t>
        </is>
      </c>
      <c r="K55" s="34" t="n"/>
    </row>
    <row r="56" ht="42" customHeight="1">
      <c r="A56" s="31" t="n">
        <v>10</v>
      </c>
      <c r="B56" s="32" t="inlineStr">
        <is>
          <t>Mon</t>
        </is>
      </c>
      <c r="C56" s="33" t="n">
        <v>46265</v>
      </c>
      <c r="D56" s="32" t="inlineStr">
        <is>
          <t>Mon</t>
        </is>
      </c>
      <c r="E56" s="32" t="inlineStr">
        <is>
          <t>Deep Learning + DVA Exam</t>
        </is>
      </c>
      <c r="F56" s="34" t="inlineStr">
        <is>
          <t>📖 CNNs &amp; Computer Vision — read core concepts + notes (Pt 1)
[aideepmachinelearning/05-cnns-computer-vision.md]</t>
        </is>
      </c>
      <c r="G56" s="34" t="inlineStr">
        <is>
          <t>💻 Code along with CNNs &amp; Computer Vision examples</t>
        </is>
      </c>
      <c r="H56" s="32" t="n">
        <v>3.5</v>
      </c>
      <c r="I56" s="32" t="n"/>
      <c r="J56" s="32" t="inlineStr">
        <is>
          <t>Not Started</t>
        </is>
      </c>
      <c r="K56" s="34" t="n"/>
    </row>
    <row r="57" ht="42" customHeight="1">
      <c r="A57" s="31" t="n">
        <v>10</v>
      </c>
      <c r="B57" s="32" t="inlineStr">
        <is>
          <t>Tue</t>
        </is>
      </c>
      <c r="C57" s="33" t="n">
        <v>46266</v>
      </c>
      <c r="D57" s="32" t="inlineStr">
        <is>
          <t>Tue</t>
        </is>
      </c>
      <c r="E57" s="32" t="inlineStr">
        <is>
          <t>Deep Learning + DVA Exam</t>
        </is>
      </c>
      <c r="F57" s="34" t="inlineStr">
        <is>
          <t>📖 CNNs &amp; Computer Vision — concepts Pt 2 + work examples BY HAND</t>
        </is>
      </c>
      <c r="G57" s="34" t="inlineStr">
        <is>
          <t>📖 DVA review + practice — intro + code along
[awscert/01-aws-developer-associate-dva-c02.md]</t>
        </is>
      </c>
      <c r="H57" s="32" t="n">
        <v>3.5</v>
      </c>
      <c r="I57" s="32" t="n"/>
      <c r="J57" s="32" t="inlineStr">
        <is>
          <t>Not Started</t>
        </is>
      </c>
      <c r="K57" s="34" t="n"/>
    </row>
    <row r="58" ht="42" customHeight="1">
      <c r="A58" s="31" t="n">
        <v>10</v>
      </c>
      <c r="B58" s="32" t="inlineStr">
        <is>
          <t>Wed</t>
        </is>
      </c>
      <c r="C58" s="33" t="n">
        <v>46267</v>
      </c>
      <c r="D58" s="32" t="inlineStr">
        <is>
          <t>Wed</t>
        </is>
      </c>
      <c r="E58" s="32" t="inlineStr">
        <is>
          <t>Deep Learning + DVA Exam</t>
        </is>
      </c>
      <c r="F58" s="34" t="inlineStr">
        <is>
          <t>🔬 CNNs &amp; Computer Vision — deep dive on the hardest subtopic</t>
        </is>
      </c>
      <c r="G58" s="34" t="inlineStr">
        <is>
          <t>🏋️ CNNs &amp; Computer Vision — exercises 1–3 (check solutions)</t>
        </is>
      </c>
      <c r="H58" s="32" t="n">
        <v>3.5</v>
      </c>
      <c r="I58" s="32" t="n"/>
      <c r="J58" s="32" t="inlineStr">
        <is>
          <t>Not Started</t>
        </is>
      </c>
      <c r="K58" s="34" t="n"/>
    </row>
    <row r="59" ht="42" customHeight="1">
      <c r="A59" s="31" t="n">
        <v>10</v>
      </c>
      <c r="B59" s="32" t="inlineStr">
        <is>
          <t>Thu</t>
        </is>
      </c>
      <c r="C59" s="33" t="n">
        <v>46268</v>
      </c>
      <c r="D59" s="32" t="inlineStr">
        <is>
          <t>Thu</t>
        </is>
      </c>
      <c r="E59" s="32" t="inlineStr">
        <is>
          <t>Deep Learning + DVA Exam</t>
        </is>
      </c>
      <c r="F59" s="34" t="inlineStr">
        <is>
          <t>📖 DVA review + practice — deep dive + worked examples</t>
        </is>
      </c>
      <c r="G59" s="34" t="inlineStr">
        <is>
          <t>💻 DVA review + practice — code along + exercises</t>
        </is>
      </c>
      <c r="H59" s="32" t="n">
        <v>3.5</v>
      </c>
      <c r="I59" s="32" t="n"/>
      <c r="J59" s="32" t="inlineStr">
        <is>
          <t>Not Started</t>
        </is>
      </c>
      <c r="K59" s="34" t="n"/>
    </row>
    <row r="60" ht="42" customHeight="1">
      <c r="A60" s="31" t="n">
        <v>10</v>
      </c>
      <c r="B60" s="32" t="inlineStr">
        <is>
          <t>Fri</t>
        </is>
      </c>
      <c r="C60" s="33" t="n">
        <v>46269</v>
      </c>
      <c r="D60" s="32" t="inlineStr">
        <is>
          <t>Fri</t>
        </is>
      </c>
      <c r="E60" s="32" t="inlineStr">
        <is>
          <t>Deep Learning + DVA Exam</t>
        </is>
      </c>
      <c r="F60" s="34" t="inlineStr">
        <is>
          <t>🧮 CNNs &amp; Computer Vision — from-scratch implementation / integrate</t>
        </is>
      </c>
      <c r="G60" s="34" t="inlineStr">
        <is>
          <t>❓ Quiz BOTH topics + make spaced-rep flashcards</t>
        </is>
      </c>
      <c r="H60" s="32" t="n">
        <v>3.5</v>
      </c>
      <c r="I60" s="32" t="n"/>
      <c r="J60" s="32" t="inlineStr">
        <is>
          <t>Not Started</t>
        </is>
      </c>
      <c r="K60" s="34" t="n"/>
    </row>
    <row r="61" ht="42" customHeight="1">
      <c r="A61" s="31" t="n">
        <v>10</v>
      </c>
      <c r="B61" s="32" t="inlineStr">
        <is>
          <t>Sat</t>
        </is>
      </c>
      <c r="C61" s="33" t="n">
        <v>46270</v>
      </c>
      <c r="D61" s="32" t="inlineStr">
        <is>
          <t>Sat</t>
        </is>
      </c>
      <c r="E61" s="32" t="inlineStr">
        <is>
          <t>Deep Learning + DVA Exam</t>
        </is>
      </c>
      <c r="F61" s="34" t="inlineStr">
        <is>
          <t>🔁 Weekly review — redo missed Qs, explain aloud (Feynman)</t>
        </is>
      </c>
      <c r="G61" s="34" t="inlineStr">
        <is>
          <t>🚀 Mini-project increment + plan next week</t>
        </is>
      </c>
      <c r="H61" s="32" t="n">
        <v>3.5</v>
      </c>
      <c r="I61" s="32" t="n"/>
      <c r="J61" s="32" t="inlineStr">
        <is>
          <t>Not Started</t>
        </is>
      </c>
      <c r="K61" s="34" t="n"/>
    </row>
    <row r="62" ht="42" customHeight="1">
      <c r="A62" s="31" t="n">
        <v>11</v>
      </c>
      <c r="B62" s="32" t="inlineStr">
        <is>
          <t>Mon</t>
        </is>
      </c>
      <c r="C62" s="33" t="n">
        <v>46272</v>
      </c>
      <c r="D62" s="32" t="inlineStr">
        <is>
          <t>Mon</t>
        </is>
      </c>
      <c r="E62" s="32" t="inlineStr">
        <is>
          <t>Deep Learning + DVA Exam</t>
        </is>
      </c>
      <c r="F62" s="34" t="inlineStr">
        <is>
          <t>📖 CNN project work + DVA deep review — read core concepts + notes (Pt 1)
[aideepmachinelearning/05-cnns-computer-vision.md]</t>
        </is>
      </c>
      <c r="G62" s="34" t="inlineStr">
        <is>
          <t>💻 Code along with CNN project work + DVA deep review examples</t>
        </is>
      </c>
      <c r="H62" s="32" t="n">
        <v>3.5</v>
      </c>
      <c r="I62" s="32" t="n"/>
      <c r="J62" s="32" t="inlineStr">
        <is>
          <t>Not Started</t>
        </is>
      </c>
      <c r="K62" s="34" t="n"/>
    </row>
    <row r="63" ht="42" customHeight="1">
      <c r="A63" s="31" t="n">
        <v>11</v>
      </c>
      <c r="B63" s="32" t="inlineStr">
        <is>
          <t>Tue</t>
        </is>
      </c>
      <c r="C63" s="33" t="n">
        <v>46273</v>
      </c>
      <c r="D63" s="32" t="inlineStr">
        <is>
          <t>Tue</t>
        </is>
      </c>
      <c r="E63" s="32" t="inlineStr">
        <is>
          <t>Deep Learning + DVA Exam</t>
        </is>
      </c>
      <c r="F63" s="34" t="inlineStr">
        <is>
          <t>📖 CNN project work + DVA deep review — concepts Pt 2 + work examples BY HAND</t>
        </is>
      </c>
      <c r="G63" s="34" t="inlineStr">
        <is>
          <t>📖 DVA traps &amp; cheat sheets — intro + code along
[awscert/04-aws-exam-strategy-practice.md]</t>
        </is>
      </c>
      <c r="H63" s="32" t="n">
        <v>3.5</v>
      </c>
      <c r="I63" s="32" t="n"/>
      <c r="J63" s="32" t="inlineStr">
        <is>
          <t>Not Started</t>
        </is>
      </c>
      <c r="K63" s="34" t="n"/>
    </row>
    <row r="64" ht="42" customHeight="1">
      <c r="A64" s="31" t="n">
        <v>11</v>
      </c>
      <c r="B64" s="32" t="inlineStr">
        <is>
          <t>Wed</t>
        </is>
      </c>
      <c r="C64" s="33" t="n">
        <v>46274</v>
      </c>
      <c r="D64" s="32" t="inlineStr">
        <is>
          <t>Wed</t>
        </is>
      </c>
      <c r="E64" s="32" t="inlineStr">
        <is>
          <t>Deep Learning + DVA Exam</t>
        </is>
      </c>
      <c r="F64" s="34" t="inlineStr">
        <is>
          <t>🔬 CNN project work + DVA deep review — deep dive on the hardest subtopic</t>
        </is>
      </c>
      <c r="G64" s="34" t="inlineStr">
        <is>
          <t>🏋️ CNN project work + DVA deep review — exercises 1–3 (check solutions)</t>
        </is>
      </c>
      <c r="H64" s="32" t="n">
        <v>3.5</v>
      </c>
      <c r="I64" s="32" t="n"/>
      <c r="J64" s="32" t="inlineStr">
        <is>
          <t>Not Started</t>
        </is>
      </c>
      <c r="K64" s="34" t="n"/>
    </row>
    <row r="65" ht="42" customHeight="1">
      <c r="A65" s="31" t="n">
        <v>11</v>
      </c>
      <c r="B65" s="32" t="inlineStr">
        <is>
          <t>Thu</t>
        </is>
      </c>
      <c r="C65" s="33" t="n">
        <v>46275</v>
      </c>
      <c r="D65" s="32" t="inlineStr">
        <is>
          <t>Thu</t>
        </is>
      </c>
      <c r="E65" s="32" t="inlineStr">
        <is>
          <t>Deep Learning + DVA Exam</t>
        </is>
      </c>
      <c r="F65" s="34" t="inlineStr">
        <is>
          <t>📖 DVA traps &amp; cheat sheets — deep dive + worked examples</t>
        </is>
      </c>
      <c r="G65" s="34" t="inlineStr">
        <is>
          <t>💻 DVA traps &amp; cheat sheets — code along + exercises</t>
        </is>
      </c>
      <c r="H65" s="32" t="n">
        <v>3.5</v>
      </c>
      <c r="I65" s="32" t="n"/>
      <c r="J65" s="32" t="inlineStr">
        <is>
          <t>Not Started</t>
        </is>
      </c>
      <c r="K65" s="34" t="n"/>
    </row>
    <row r="66" ht="42" customHeight="1">
      <c r="A66" s="31" t="n">
        <v>11</v>
      </c>
      <c r="B66" s="32" t="inlineStr">
        <is>
          <t>Fri</t>
        </is>
      </c>
      <c r="C66" s="33" t="n">
        <v>46276</v>
      </c>
      <c r="D66" s="32" t="inlineStr">
        <is>
          <t>Fri</t>
        </is>
      </c>
      <c r="E66" s="32" t="inlineStr">
        <is>
          <t>Deep Learning + DVA Exam</t>
        </is>
      </c>
      <c r="F66" s="34" t="inlineStr">
        <is>
          <t>🧮 CNN project work + DVA deep review — from-scratch implementation / integrate</t>
        </is>
      </c>
      <c r="G66" s="34" t="inlineStr">
        <is>
          <t>❓ Quiz BOTH topics + make spaced-rep flashcards</t>
        </is>
      </c>
      <c r="H66" s="32" t="n">
        <v>3.5</v>
      </c>
      <c r="I66" s="32" t="n"/>
      <c r="J66" s="32" t="inlineStr">
        <is>
          <t>Not Started</t>
        </is>
      </c>
      <c r="K66" s="34" t="n"/>
    </row>
    <row r="67" ht="42" customHeight="1">
      <c r="A67" s="31" t="n">
        <v>11</v>
      </c>
      <c r="B67" s="32" t="inlineStr">
        <is>
          <t>Sat</t>
        </is>
      </c>
      <c r="C67" s="33" t="n">
        <v>46277</v>
      </c>
      <c r="D67" s="32" t="inlineStr">
        <is>
          <t>Sat</t>
        </is>
      </c>
      <c r="E67" s="32" t="inlineStr">
        <is>
          <t>Deep Learning + DVA Exam</t>
        </is>
      </c>
      <c r="F67" s="34" t="inlineStr">
        <is>
          <t>🔁 Weekly review — redo missed Qs, explain aloud (Feynman)</t>
        </is>
      </c>
      <c r="G67" s="34" t="inlineStr">
        <is>
          <t>🚀 Mini-project increment + plan next week</t>
        </is>
      </c>
      <c r="H67" s="32" t="n">
        <v>3.5</v>
      </c>
      <c r="I67" s="32" t="n"/>
      <c r="J67" s="32" t="inlineStr">
        <is>
          <t>Not Started</t>
        </is>
      </c>
      <c r="K67" s="34" t="n"/>
    </row>
    <row r="68" ht="42" customHeight="1">
      <c r="A68" s="31" t="n">
        <v>12</v>
      </c>
      <c r="B68" s="32" t="inlineStr">
        <is>
          <t>Mon</t>
        </is>
      </c>
      <c r="C68" s="33" t="n">
        <v>46279</v>
      </c>
      <c r="D68" s="32" t="inlineStr">
        <is>
          <t>Mon</t>
        </is>
      </c>
      <c r="E68" s="32" t="inlineStr">
        <is>
          <t>Deep Learning + DVA Exam</t>
        </is>
      </c>
      <c r="F68" s="34" t="inlineStr">
        <is>
          <t>🚀 Capstone 3: fine-tune ResNet on a small dataset</t>
        </is>
      </c>
      <c r="G68" s="34" t="inlineStr">
        <is>
          <t>❓ DVA full-length practice exam #1</t>
        </is>
      </c>
      <c r="H68" s="32" t="n">
        <v>3.5</v>
      </c>
      <c r="I68" s="32" t="n"/>
      <c r="J68" s="32" t="inlineStr">
        <is>
          <t>Not Started</t>
        </is>
      </c>
      <c r="K68" s="34" t="n"/>
    </row>
    <row r="69" ht="42" customHeight="1">
      <c r="A69" s="31" t="n">
        <v>12</v>
      </c>
      <c r="B69" s="32" t="inlineStr">
        <is>
          <t>Tue</t>
        </is>
      </c>
      <c r="C69" s="33" t="n">
        <v>46280</v>
      </c>
      <c r="D69" s="32" t="inlineStr">
        <is>
          <t>Tue</t>
        </is>
      </c>
      <c r="E69" s="32" t="inlineStr">
        <is>
          <t>Deep Learning + DVA Exam</t>
        </is>
      </c>
      <c r="F69" s="34" t="inlineStr">
        <is>
          <t>💻 Capstone 3: export model + build inference handler</t>
        </is>
      </c>
      <c r="G69" s="34" t="inlineStr">
        <is>
          <t>🔍 Review every missed DVA question</t>
        </is>
      </c>
      <c r="H69" s="32" t="n">
        <v>3.5</v>
      </c>
      <c r="I69" s="32" t="n"/>
      <c r="J69" s="32" t="inlineStr">
        <is>
          <t>Not Started</t>
        </is>
      </c>
      <c r="K69" s="34" t="n"/>
    </row>
    <row r="70" ht="42" customHeight="1">
      <c r="A70" s="31" t="n">
        <v>12</v>
      </c>
      <c r="B70" s="32" t="inlineStr">
        <is>
          <t>Wed</t>
        </is>
      </c>
      <c r="C70" s="33" t="n">
        <v>46281</v>
      </c>
      <c r="D70" s="32" t="inlineStr">
        <is>
          <t>Wed</t>
        </is>
      </c>
      <c r="E70" s="32" t="inlineStr">
        <is>
          <t>Deep Learning + DVA Exam</t>
        </is>
      </c>
      <c r="F70" s="34" t="inlineStr">
        <is>
          <t>💻 Capstone 3: package + deploy to AWS Lambda</t>
        </is>
      </c>
      <c r="G70" s="34" t="inlineStr">
        <is>
          <t>❓ DVA full-length practice exam #2</t>
        </is>
      </c>
      <c r="H70" s="32" t="n">
        <v>3.5</v>
      </c>
      <c r="I70" s="32" t="n"/>
      <c r="J70" s="32" t="inlineStr">
        <is>
          <t>Not Started</t>
        </is>
      </c>
      <c r="K70" s="34" t="n"/>
    </row>
    <row r="71" ht="42" customHeight="1">
      <c r="A71" s="31" t="n">
        <v>12</v>
      </c>
      <c r="B71" s="32" t="inlineStr">
        <is>
          <t>Thu</t>
        </is>
      </c>
      <c r="C71" s="33" t="n">
        <v>46282</v>
      </c>
      <c r="D71" s="32" t="inlineStr">
        <is>
          <t>Thu</t>
        </is>
      </c>
      <c r="E71" s="32" t="inlineStr">
        <is>
          <t>Deep Learning + DVA Exam</t>
        </is>
      </c>
      <c r="F71" s="34" t="inlineStr">
        <is>
          <t>💻 Capstone 3: test endpoint + write README</t>
        </is>
      </c>
      <c r="G71" s="34" t="inlineStr">
        <is>
          <t>🔍 Review misses + memorize cheat sheets</t>
        </is>
      </c>
      <c r="H71" s="32" t="n">
        <v>3.5</v>
      </c>
      <c r="I71" s="32" t="n"/>
      <c r="J71" s="32" t="inlineStr">
        <is>
          <t>Not Started</t>
        </is>
      </c>
      <c r="K71" s="34" t="n"/>
    </row>
    <row r="72" ht="42" customHeight="1">
      <c r="A72" s="31" t="n">
        <v>12</v>
      </c>
      <c r="B72" s="32" t="inlineStr">
        <is>
          <t>Fri</t>
        </is>
      </c>
      <c r="C72" s="33" t="n">
        <v>46283</v>
      </c>
      <c r="D72" s="32" t="inlineStr">
        <is>
          <t>Fri</t>
        </is>
      </c>
      <c r="E72" s="32" t="inlineStr">
        <is>
          <t>Deep Learning + DVA Exam</t>
        </is>
      </c>
      <c r="F72" s="34" t="inlineStr">
        <is>
          <t>✨ Capstone 3: polish + demo prep</t>
        </is>
      </c>
      <c r="G72" s="34" t="inlineStr">
        <is>
          <t>❓ DVA practice exam #3 — aim 85%+</t>
        </is>
      </c>
      <c r="H72" s="32" t="n">
        <v>3.5</v>
      </c>
      <c r="I72" s="32" t="n"/>
      <c r="J72" s="32" t="inlineStr">
        <is>
          <t>Not Started</t>
        </is>
      </c>
      <c r="K72" s="34" t="n"/>
    </row>
    <row r="73" ht="42" customHeight="1">
      <c r="A73" s="31" t="n">
        <v>12</v>
      </c>
      <c r="B73" s="32" t="inlineStr">
        <is>
          <t>Sat</t>
        </is>
      </c>
      <c r="C73" s="33" t="n">
        <v>46284</v>
      </c>
      <c r="D73" s="32" t="inlineStr">
        <is>
          <t>Sat</t>
        </is>
      </c>
      <c r="E73" s="32" t="inlineStr">
        <is>
          <t>Deep Learning + DVA Exam</t>
        </is>
      </c>
      <c r="F73" s="34" t="inlineStr">
        <is>
          <t>🔁 Month 3 theory review</t>
        </is>
      </c>
      <c r="G73" s="34" t="inlineStr">
        <is>
          <t>📅 Schedule DVA exam; plan exam week</t>
        </is>
      </c>
      <c r="H73" s="32" t="n">
        <v>3.5</v>
      </c>
      <c r="I73" s="32" t="n"/>
      <c r="J73" s="32" t="inlineStr">
        <is>
          <t>Not Started</t>
        </is>
      </c>
      <c r="K73" s="34" t="n"/>
    </row>
    <row r="74" ht="42" customHeight="1">
      <c r="A74" s="31" t="n">
        <v>13</v>
      </c>
      <c r="B74" s="32" t="inlineStr">
        <is>
          <t>Mon</t>
        </is>
      </c>
      <c r="C74" s="33" t="n">
        <v>46286</v>
      </c>
      <c r="D74" s="32" t="inlineStr">
        <is>
          <t>Mon</t>
        </is>
      </c>
      <c r="E74" s="32" t="inlineStr">
        <is>
          <t>Deep Learning + DVA Exam</t>
        </is>
      </c>
      <c r="F74" s="34" t="inlineStr">
        <is>
          <t>📚 DVA final review — weakest domains first</t>
        </is>
      </c>
      <c r="G74" s="34" t="inlineStr">
        <is>
          <t>❓ Final full-length practice exam</t>
        </is>
      </c>
      <c r="H74" s="32" t="n">
        <v>3.5</v>
      </c>
      <c r="I74" s="32" t="n"/>
      <c r="J74" s="32" t="inlineStr">
        <is>
          <t>Not Started</t>
        </is>
      </c>
      <c r="K74" s="34" t="n"/>
    </row>
    <row r="75" ht="42" customHeight="1">
      <c r="A75" s="31" t="n">
        <v>13</v>
      </c>
      <c r="B75" s="32" t="inlineStr">
        <is>
          <t>Tue</t>
        </is>
      </c>
      <c r="C75" s="33" t="n">
        <v>46287</v>
      </c>
      <c r="D75" s="32" t="inlineStr">
        <is>
          <t>Tue</t>
        </is>
      </c>
      <c r="E75" s="32" t="inlineStr">
        <is>
          <t>Deep Learning + DVA Exam</t>
        </is>
      </c>
      <c r="F75" s="34" t="inlineStr">
        <is>
          <t>🔍 Review all misses + quick-reference cards</t>
        </is>
      </c>
      <c r="G75" s="34" t="inlineStr">
        <is>
          <t>🧠 Memorize service limits/keywords</t>
        </is>
      </c>
      <c r="H75" s="32" t="n">
        <v>3.5</v>
      </c>
      <c r="I75" s="32" t="n"/>
      <c r="J75" s="32" t="inlineStr">
        <is>
          <t>Not Started</t>
        </is>
      </c>
      <c r="K75" s="34" t="n"/>
    </row>
    <row r="76" ht="42" customHeight="1">
      <c r="A76" s="31" t="n">
        <v>13</v>
      </c>
      <c r="B76" s="32" t="inlineStr">
        <is>
          <t>Wed</t>
        </is>
      </c>
      <c r="C76" s="33" t="n">
        <v>46288</v>
      </c>
      <c r="D76" s="32" t="inlineStr">
        <is>
          <t>Wed</t>
        </is>
      </c>
      <c r="E76" s="32" t="inlineStr">
        <is>
          <t>Deep Learning + DVA Exam</t>
        </is>
      </c>
      <c r="F76" s="34" t="inlineStr">
        <is>
          <t>📚 Light review — no new material</t>
        </is>
      </c>
      <c r="G76" s="34" t="inlineStr">
        <is>
          <t>😴 Rest well (sleep &gt; cramming)</t>
        </is>
      </c>
      <c r="H76" s="32" t="n">
        <v>3.5</v>
      </c>
      <c r="I76" s="32" t="n"/>
      <c r="J76" s="32" t="inlineStr">
        <is>
          <t>Not Started</t>
        </is>
      </c>
      <c r="K76" s="34" t="n"/>
    </row>
    <row r="77" ht="42" customHeight="1">
      <c r="A77" s="31" t="n">
        <v>13</v>
      </c>
      <c r="B77" s="32" t="inlineStr">
        <is>
          <t>Thu</t>
        </is>
      </c>
      <c r="C77" s="33" t="n">
        <v>46289</v>
      </c>
      <c r="D77" s="32" t="inlineStr">
        <is>
          <t>Thu</t>
        </is>
      </c>
      <c r="E77" s="32" t="inlineStr">
        <is>
          <t>Deep Learning + DVA Exam</t>
        </is>
      </c>
      <c r="F77" s="34" t="inlineStr">
        <is>
          <t>🎯 DVA-C02 EXAM DAY</t>
        </is>
      </c>
      <c r="G77" s="34" t="inlineStr">
        <is>
          <t>🎉 Decompress / log result</t>
        </is>
      </c>
      <c r="H77" s="32" t="n">
        <v>3.5</v>
      </c>
      <c r="I77" s="32" t="n"/>
      <c r="J77" s="32" t="inlineStr">
        <is>
          <t>Not Started</t>
        </is>
      </c>
      <c r="K77" s="34" t="n"/>
    </row>
    <row r="78" ht="42" customHeight="1">
      <c r="A78" s="31" t="n">
        <v>13</v>
      </c>
      <c r="B78" s="32" t="inlineStr">
        <is>
          <t>Fri</t>
        </is>
      </c>
      <c r="C78" s="33" t="n">
        <v>46290</v>
      </c>
      <c r="D78" s="32" t="inlineStr">
        <is>
          <t>Fri</t>
        </is>
      </c>
      <c r="E78" s="32" t="inlineStr">
        <is>
          <t>Deep Learning + DVA Exam</t>
        </is>
      </c>
      <c r="F78" s="34" t="inlineStr">
        <is>
          <t>🔁 Buffer / retake prep if needed</t>
        </is>
      </c>
      <c r="G78" s="34" t="inlineStr">
        <is>
          <t>📖 Preview Transformers (Month 4)</t>
        </is>
      </c>
      <c r="H78" s="32" t="n">
        <v>3.5</v>
      </c>
      <c r="I78" s="32" t="n"/>
      <c r="J78" s="32" t="inlineStr">
        <is>
          <t>Not Started</t>
        </is>
      </c>
      <c r="K78" s="34" t="n"/>
    </row>
    <row r="79" ht="42" customHeight="1">
      <c r="A79" s="31" t="n">
        <v>13</v>
      </c>
      <c r="B79" s="32" t="inlineStr">
        <is>
          <t>Sat</t>
        </is>
      </c>
      <c r="C79" s="33" t="n">
        <v>46291</v>
      </c>
      <c r="D79" s="32" t="inlineStr">
        <is>
          <t>Sat</t>
        </is>
      </c>
      <c r="E79" s="32" t="inlineStr">
        <is>
          <t>Deep Learning + DVA Exam</t>
        </is>
      </c>
      <c r="F79" s="34" t="inlineStr">
        <is>
          <t>🔁 Catch-up &amp; consolidate</t>
        </is>
      </c>
      <c r="G79" s="34" t="inlineStr">
        <is>
          <t>📅 Plan Month 4</t>
        </is>
      </c>
      <c r="H79" s="32" t="n">
        <v>3.5</v>
      </c>
      <c r="I79" s="32" t="n"/>
      <c r="J79" s="32" t="inlineStr">
        <is>
          <t>Not Started</t>
        </is>
      </c>
      <c r="K79" s="34" t="n"/>
    </row>
    <row r="80" ht="42" customHeight="1">
      <c r="A80" s="35" t="n">
        <v>14</v>
      </c>
      <c r="B80" s="36" t="inlineStr">
        <is>
          <t>Mon</t>
        </is>
      </c>
      <c r="C80" s="37" t="n">
        <v>46293</v>
      </c>
      <c r="D80" s="36" t="inlineStr">
        <is>
          <t>Mon</t>
        </is>
      </c>
      <c r="E80" s="36" t="inlineStr">
        <is>
          <t>Transformers/LLMs + SAA begins</t>
        </is>
      </c>
      <c r="F80" s="38" t="inlineStr">
        <is>
          <t>📖 Transformers &amp; Attention — read core concepts + notes (Pt 1)
[aideepmachinelearning/06-transformers-attention-llms.md]</t>
        </is>
      </c>
      <c r="G80" s="38" t="inlineStr">
        <is>
          <t>💻 Code along with Transformers &amp; Attention examples</t>
        </is>
      </c>
      <c r="H80" s="36" t="n">
        <v>3.5</v>
      </c>
      <c r="I80" s="36" t="n"/>
      <c r="J80" s="36" t="inlineStr">
        <is>
          <t>Not Started</t>
        </is>
      </c>
      <c r="K80" s="38" t="n"/>
    </row>
    <row r="81" ht="42" customHeight="1">
      <c r="A81" s="35" t="n">
        <v>14</v>
      </c>
      <c r="B81" s="36" t="inlineStr">
        <is>
          <t>Tue</t>
        </is>
      </c>
      <c r="C81" s="37" t="n">
        <v>46294</v>
      </c>
      <c r="D81" s="36" t="inlineStr">
        <is>
          <t>Tue</t>
        </is>
      </c>
      <c r="E81" s="36" t="inlineStr">
        <is>
          <t>Transformers/LLMs + SAA begins</t>
        </is>
      </c>
      <c r="F81" s="38" t="inlineStr">
        <is>
          <t>📖 Transformers &amp; Attention — concepts Pt 2 + work examples BY HAND</t>
        </is>
      </c>
      <c r="G81" s="38" t="inlineStr">
        <is>
          <t>📖 RNNs / LSTMs / Sequence Models — intro + code along
[aideepmachinelearning/08-rnns-lstms-sequence-models.md]</t>
        </is>
      </c>
      <c r="H81" s="36" t="n">
        <v>3.5</v>
      </c>
      <c r="I81" s="36" t="n"/>
      <c r="J81" s="36" t="inlineStr">
        <is>
          <t>Not Started</t>
        </is>
      </c>
      <c r="K81" s="38" t="n"/>
    </row>
    <row r="82" ht="42" customHeight="1">
      <c r="A82" s="35" t="n">
        <v>14</v>
      </c>
      <c r="B82" s="36" t="inlineStr">
        <is>
          <t>Wed</t>
        </is>
      </c>
      <c r="C82" s="37" t="n">
        <v>46295</v>
      </c>
      <c r="D82" s="36" t="inlineStr">
        <is>
          <t>Wed</t>
        </is>
      </c>
      <c r="E82" s="36" t="inlineStr">
        <is>
          <t>Transformers/LLMs + SAA begins</t>
        </is>
      </c>
      <c r="F82" s="38" t="inlineStr">
        <is>
          <t>🔬 Transformers &amp; Attention — deep dive on the hardest subtopic</t>
        </is>
      </c>
      <c r="G82" s="38" t="inlineStr">
        <is>
          <t>🏋️ Transformers &amp; Attention — exercises 1–3 (check solutions)</t>
        </is>
      </c>
      <c r="H82" s="36" t="n">
        <v>3.5</v>
      </c>
      <c r="I82" s="36" t="n"/>
      <c r="J82" s="36" t="inlineStr">
        <is>
          <t>Not Started</t>
        </is>
      </c>
      <c r="K82" s="38" t="n"/>
    </row>
    <row r="83" ht="42" customHeight="1">
      <c r="A83" s="35" t="n">
        <v>14</v>
      </c>
      <c r="B83" s="36" t="inlineStr">
        <is>
          <t>Thu</t>
        </is>
      </c>
      <c r="C83" s="37" t="n">
        <v>46296</v>
      </c>
      <c r="D83" s="36" t="inlineStr">
        <is>
          <t>Thu</t>
        </is>
      </c>
      <c r="E83" s="36" t="inlineStr">
        <is>
          <t>Transformers/LLMs + SAA begins</t>
        </is>
      </c>
      <c r="F83" s="38" t="inlineStr">
        <is>
          <t>📖 RNNs / LSTMs / Sequence Models — deep dive + worked examples</t>
        </is>
      </c>
      <c r="G83" s="38" t="inlineStr">
        <is>
          <t>💻 RNNs / LSTMs / Sequence Models — code along + exercises</t>
        </is>
      </c>
      <c r="H83" s="36" t="n">
        <v>3.5</v>
      </c>
      <c r="I83" s="36" t="n"/>
      <c r="J83" s="36" t="inlineStr">
        <is>
          <t>Not Started</t>
        </is>
      </c>
      <c r="K83" s="38" t="n"/>
    </row>
    <row r="84" ht="42" customHeight="1">
      <c r="A84" s="35" t="n">
        <v>14</v>
      </c>
      <c r="B84" s="36" t="inlineStr">
        <is>
          <t>Fri</t>
        </is>
      </c>
      <c r="C84" s="37" t="n">
        <v>46297</v>
      </c>
      <c r="D84" s="36" t="inlineStr">
        <is>
          <t>Fri</t>
        </is>
      </c>
      <c r="E84" s="36" t="inlineStr">
        <is>
          <t>Transformers/LLMs + SAA begins</t>
        </is>
      </c>
      <c r="F84" s="38" t="inlineStr">
        <is>
          <t>🧮 Transformers &amp; Attention — from-scratch implementation / integrate</t>
        </is>
      </c>
      <c r="G84" s="38" t="inlineStr">
        <is>
          <t>❓ Quiz BOTH topics + make spaced-rep flashcards</t>
        </is>
      </c>
      <c r="H84" s="36" t="n">
        <v>3.5</v>
      </c>
      <c r="I84" s="36" t="n"/>
      <c r="J84" s="36" t="inlineStr">
        <is>
          <t>Not Started</t>
        </is>
      </c>
      <c r="K84" s="38" t="n"/>
    </row>
    <row r="85" ht="42" customHeight="1">
      <c r="A85" s="35" t="n">
        <v>14</v>
      </c>
      <c r="B85" s="36" t="inlineStr">
        <is>
          <t>Sat</t>
        </is>
      </c>
      <c r="C85" s="37" t="n">
        <v>46298</v>
      </c>
      <c r="D85" s="36" t="inlineStr">
        <is>
          <t>Sat</t>
        </is>
      </c>
      <c r="E85" s="36" t="inlineStr">
        <is>
          <t>Transformers/LLMs + SAA begins</t>
        </is>
      </c>
      <c r="F85" s="38" t="inlineStr">
        <is>
          <t>🔁 Weekly review — redo missed Qs, explain aloud (Feynman)</t>
        </is>
      </c>
      <c r="G85" s="38" t="inlineStr">
        <is>
          <t>🚀 Mini-project increment + plan next week</t>
        </is>
      </c>
      <c r="H85" s="36" t="n">
        <v>3.5</v>
      </c>
      <c r="I85" s="36" t="n"/>
      <c r="J85" s="36" t="inlineStr">
        <is>
          <t>Not Started</t>
        </is>
      </c>
      <c r="K85" s="38" t="n"/>
    </row>
    <row r="86" ht="42" customHeight="1">
      <c r="A86" s="35" t="n">
        <v>15</v>
      </c>
      <c r="B86" s="36" t="inlineStr">
        <is>
          <t>Mon</t>
        </is>
      </c>
      <c r="C86" s="37" t="n">
        <v>46300</v>
      </c>
      <c r="D86" s="36" t="inlineStr">
        <is>
          <t>Mon</t>
        </is>
      </c>
      <c r="E86" s="36" t="inlineStr">
        <is>
          <t>Transformers/LLMs + SAA begins</t>
        </is>
      </c>
      <c r="F86" s="38" t="inlineStr">
        <is>
          <t>📖 AI Engineering: RAG &amp; Agents — read core concepts + notes (Pt 1)
[aideepmachinelearning/07-ai-engineering-production.md]</t>
        </is>
      </c>
      <c r="G86" s="38" t="inlineStr">
        <is>
          <t>💻 Code along with AI Engineering: RAG &amp; Agents examples</t>
        </is>
      </c>
      <c r="H86" s="36" t="n">
        <v>3.5</v>
      </c>
      <c r="I86" s="36" t="n"/>
      <c r="J86" s="36" t="inlineStr">
        <is>
          <t>Not Started</t>
        </is>
      </c>
      <c r="K86" s="38" t="n"/>
    </row>
    <row r="87" ht="42" customHeight="1">
      <c r="A87" s="35" t="n">
        <v>15</v>
      </c>
      <c r="B87" s="36" t="inlineStr">
        <is>
          <t>Tue</t>
        </is>
      </c>
      <c r="C87" s="37" t="n">
        <v>46301</v>
      </c>
      <c r="D87" s="36" t="inlineStr">
        <is>
          <t>Tue</t>
        </is>
      </c>
      <c r="E87" s="36" t="inlineStr">
        <is>
          <t>Transformers/LLMs + SAA begins</t>
        </is>
      </c>
      <c r="F87" s="38" t="inlineStr">
        <is>
          <t>📖 AI Engineering: RAG &amp; Agents — concepts Pt 2 + work examples BY HAND</t>
        </is>
      </c>
      <c r="G87" s="38" t="inlineStr">
        <is>
          <t>📖 AWS SAA-C03: VPC &amp; Resilient Architectures — intro + code along
[awscert/02-aws-architect-associate-saa-c03.md]</t>
        </is>
      </c>
      <c r="H87" s="36" t="n">
        <v>3.5</v>
      </c>
      <c r="I87" s="36" t="n"/>
      <c r="J87" s="36" t="inlineStr">
        <is>
          <t>Not Started</t>
        </is>
      </c>
      <c r="K87" s="38" t="n"/>
    </row>
    <row r="88" ht="42" customHeight="1">
      <c r="A88" s="35" t="n">
        <v>15</v>
      </c>
      <c r="B88" s="36" t="inlineStr">
        <is>
          <t>Wed</t>
        </is>
      </c>
      <c r="C88" s="37" t="n">
        <v>46302</v>
      </c>
      <c r="D88" s="36" t="inlineStr">
        <is>
          <t>Wed</t>
        </is>
      </c>
      <c r="E88" s="36" t="inlineStr">
        <is>
          <t>Transformers/LLMs + SAA begins</t>
        </is>
      </c>
      <c r="F88" s="38" t="inlineStr">
        <is>
          <t>🔬 AI Engineering: RAG &amp; Agents — deep dive on the hardest subtopic</t>
        </is>
      </c>
      <c r="G88" s="38" t="inlineStr">
        <is>
          <t>🏋️ AI Engineering: RAG &amp; Agents — exercises 1–3 (check solutions)</t>
        </is>
      </c>
      <c r="H88" s="36" t="n">
        <v>3.5</v>
      </c>
      <c r="I88" s="36" t="n"/>
      <c r="J88" s="36" t="inlineStr">
        <is>
          <t>Not Started</t>
        </is>
      </c>
      <c r="K88" s="38" t="n"/>
    </row>
    <row r="89" ht="42" customHeight="1">
      <c r="A89" s="35" t="n">
        <v>15</v>
      </c>
      <c r="B89" s="36" t="inlineStr">
        <is>
          <t>Thu</t>
        </is>
      </c>
      <c r="C89" s="37" t="n">
        <v>46303</v>
      </c>
      <c r="D89" s="36" t="inlineStr">
        <is>
          <t>Thu</t>
        </is>
      </c>
      <c r="E89" s="36" t="inlineStr">
        <is>
          <t>Transformers/LLMs + SAA begins</t>
        </is>
      </c>
      <c r="F89" s="38" t="inlineStr">
        <is>
          <t>📖 AWS SAA-C03: VPC &amp; Resilient Architectures — deep dive + worked examples</t>
        </is>
      </c>
      <c r="G89" s="38" t="inlineStr">
        <is>
          <t>💻 AWS SAA-C03: VPC &amp; Resilient Architectures — code along + exercises</t>
        </is>
      </c>
      <c r="H89" s="36" t="n">
        <v>3.5</v>
      </c>
      <c r="I89" s="36" t="n"/>
      <c r="J89" s="36" t="inlineStr">
        <is>
          <t>Not Started</t>
        </is>
      </c>
      <c r="K89" s="38" t="n"/>
    </row>
    <row r="90" ht="42" customHeight="1">
      <c r="A90" s="35" t="n">
        <v>15</v>
      </c>
      <c r="B90" s="36" t="inlineStr">
        <is>
          <t>Fri</t>
        </is>
      </c>
      <c r="C90" s="37" t="n">
        <v>46304</v>
      </c>
      <c r="D90" s="36" t="inlineStr">
        <is>
          <t>Fri</t>
        </is>
      </c>
      <c r="E90" s="36" t="inlineStr">
        <is>
          <t>Transformers/LLMs + SAA begins</t>
        </is>
      </c>
      <c r="F90" s="38" t="inlineStr">
        <is>
          <t>🧮 AI Engineering: RAG &amp; Agents — from-scratch implementation / integrate</t>
        </is>
      </c>
      <c r="G90" s="38" t="inlineStr">
        <is>
          <t>❓ Quiz BOTH topics + make spaced-rep flashcards</t>
        </is>
      </c>
      <c r="H90" s="36" t="n">
        <v>3.5</v>
      </c>
      <c r="I90" s="36" t="n"/>
      <c r="J90" s="36" t="inlineStr">
        <is>
          <t>Not Started</t>
        </is>
      </c>
      <c r="K90" s="38" t="n"/>
    </row>
    <row r="91" ht="42" customHeight="1">
      <c r="A91" s="35" t="n">
        <v>15</v>
      </c>
      <c r="B91" s="36" t="inlineStr">
        <is>
          <t>Sat</t>
        </is>
      </c>
      <c r="C91" s="37" t="n">
        <v>46305</v>
      </c>
      <c r="D91" s="36" t="inlineStr">
        <is>
          <t>Sat</t>
        </is>
      </c>
      <c r="E91" s="36" t="inlineStr">
        <is>
          <t>Transformers/LLMs + SAA begins</t>
        </is>
      </c>
      <c r="F91" s="38" t="inlineStr">
        <is>
          <t>🔁 Weekly review — redo missed Qs, explain aloud (Feynman)</t>
        </is>
      </c>
      <c r="G91" s="38" t="inlineStr">
        <is>
          <t>🚀 Mini-project increment + plan next week</t>
        </is>
      </c>
      <c r="H91" s="36" t="n">
        <v>3.5</v>
      </c>
      <c r="I91" s="36" t="n"/>
      <c r="J91" s="36" t="inlineStr">
        <is>
          <t>Not Started</t>
        </is>
      </c>
      <c r="K91" s="38" t="n"/>
    </row>
    <row r="92" ht="42" customHeight="1">
      <c r="A92" s="35" t="n">
        <v>16</v>
      </c>
      <c r="B92" s="36" t="inlineStr">
        <is>
          <t>Mon</t>
        </is>
      </c>
      <c r="C92" s="37" t="n">
        <v>46307</v>
      </c>
      <c r="D92" s="36" t="inlineStr">
        <is>
          <t>Mon</t>
        </is>
      </c>
      <c r="E92" s="36" t="inlineStr">
        <is>
          <t>Transformers/LLMs + SAA begins</t>
        </is>
      </c>
      <c r="F92" s="38" t="inlineStr">
        <is>
          <t>📖 MLOps &amp; Production AI — read core concepts + notes (Pt 1)
[aideepmachinelearning/07-ai-engineering-production.md]</t>
        </is>
      </c>
      <c r="G92" s="38" t="inlineStr">
        <is>
          <t>💻 Code along with MLOps &amp; Production AI examples</t>
        </is>
      </c>
      <c r="H92" s="36" t="n">
        <v>3.5</v>
      </c>
      <c r="I92" s="36" t="n"/>
      <c r="J92" s="36" t="inlineStr">
        <is>
          <t>Not Started</t>
        </is>
      </c>
      <c r="K92" s="38" t="n"/>
    </row>
    <row r="93" ht="42" customHeight="1">
      <c r="A93" s="35" t="n">
        <v>16</v>
      </c>
      <c r="B93" s="36" t="inlineStr">
        <is>
          <t>Tue</t>
        </is>
      </c>
      <c r="C93" s="37" t="n">
        <v>46308</v>
      </c>
      <c r="D93" s="36" t="inlineStr">
        <is>
          <t>Tue</t>
        </is>
      </c>
      <c r="E93" s="36" t="inlineStr">
        <is>
          <t>Transformers/LLMs + SAA begins</t>
        </is>
      </c>
      <c r="F93" s="38" t="inlineStr">
        <is>
          <t>📖 MLOps &amp; Production AI — concepts Pt 2 + work examples BY HAND</t>
        </is>
      </c>
      <c r="G93" s="38" t="inlineStr">
        <is>
          <t>📖 SAA-C03: Performance, Security &amp; Cost — intro + code along
[awscert/02-aws-architect-associate-saa-c03.md]</t>
        </is>
      </c>
      <c r="H93" s="36" t="n">
        <v>3.5</v>
      </c>
      <c r="I93" s="36" t="n"/>
      <c r="J93" s="36" t="inlineStr">
        <is>
          <t>Not Started</t>
        </is>
      </c>
      <c r="K93" s="38" t="n"/>
    </row>
    <row r="94" ht="42" customHeight="1">
      <c r="A94" s="35" t="n">
        <v>16</v>
      </c>
      <c r="B94" s="36" t="inlineStr">
        <is>
          <t>Wed</t>
        </is>
      </c>
      <c r="C94" s="37" t="n">
        <v>46309</v>
      </c>
      <c r="D94" s="36" t="inlineStr">
        <is>
          <t>Wed</t>
        </is>
      </c>
      <c r="E94" s="36" t="inlineStr">
        <is>
          <t>Transformers/LLMs + SAA begins</t>
        </is>
      </c>
      <c r="F94" s="38" t="inlineStr">
        <is>
          <t>🔬 MLOps &amp; Production AI — deep dive on the hardest subtopic</t>
        </is>
      </c>
      <c r="G94" s="38" t="inlineStr">
        <is>
          <t>🏋️ MLOps &amp; Production AI — exercises 1–3 (check solutions)</t>
        </is>
      </c>
      <c r="H94" s="36" t="n">
        <v>3.5</v>
      </c>
      <c r="I94" s="36" t="n"/>
      <c r="J94" s="36" t="inlineStr">
        <is>
          <t>Not Started</t>
        </is>
      </c>
      <c r="K94" s="38" t="n"/>
    </row>
    <row r="95" ht="42" customHeight="1">
      <c r="A95" s="35" t="n">
        <v>16</v>
      </c>
      <c r="B95" s="36" t="inlineStr">
        <is>
          <t>Thu</t>
        </is>
      </c>
      <c r="C95" s="37" t="n">
        <v>46310</v>
      </c>
      <c r="D95" s="36" t="inlineStr">
        <is>
          <t>Thu</t>
        </is>
      </c>
      <c r="E95" s="36" t="inlineStr">
        <is>
          <t>Transformers/LLMs + SAA begins</t>
        </is>
      </c>
      <c r="F95" s="38" t="inlineStr">
        <is>
          <t>📖 SAA-C03: Performance, Security &amp; Cost — deep dive + worked examples</t>
        </is>
      </c>
      <c r="G95" s="38" t="inlineStr">
        <is>
          <t>💻 SAA-C03: Performance, Security &amp; Cost — code along + exercises</t>
        </is>
      </c>
      <c r="H95" s="36" t="n">
        <v>3.5</v>
      </c>
      <c r="I95" s="36" t="n"/>
      <c r="J95" s="36" t="inlineStr">
        <is>
          <t>Not Started</t>
        </is>
      </c>
      <c r="K95" s="38" t="n"/>
    </row>
    <row r="96" ht="42" customHeight="1">
      <c r="A96" s="35" t="n">
        <v>16</v>
      </c>
      <c r="B96" s="36" t="inlineStr">
        <is>
          <t>Fri</t>
        </is>
      </c>
      <c r="C96" s="37" t="n">
        <v>46311</v>
      </c>
      <c r="D96" s="36" t="inlineStr">
        <is>
          <t>Fri</t>
        </is>
      </c>
      <c r="E96" s="36" t="inlineStr">
        <is>
          <t>Transformers/LLMs + SAA begins</t>
        </is>
      </c>
      <c r="F96" s="38" t="inlineStr">
        <is>
          <t>🧮 MLOps &amp; Production AI — from-scratch implementation / integrate</t>
        </is>
      </c>
      <c r="G96" s="38" t="inlineStr">
        <is>
          <t>❓ Quiz BOTH topics + make spaced-rep flashcards</t>
        </is>
      </c>
      <c r="H96" s="36" t="n">
        <v>3.5</v>
      </c>
      <c r="I96" s="36" t="n"/>
      <c r="J96" s="36" t="inlineStr">
        <is>
          <t>Not Started</t>
        </is>
      </c>
      <c r="K96" s="38" t="n"/>
    </row>
    <row r="97" ht="42" customHeight="1">
      <c r="A97" s="35" t="n">
        <v>16</v>
      </c>
      <c r="B97" s="36" t="inlineStr">
        <is>
          <t>Sat</t>
        </is>
      </c>
      <c r="C97" s="37" t="n">
        <v>46312</v>
      </c>
      <c r="D97" s="36" t="inlineStr">
        <is>
          <t>Sat</t>
        </is>
      </c>
      <c r="E97" s="36" t="inlineStr">
        <is>
          <t>Transformers/LLMs + SAA begins</t>
        </is>
      </c>
      <c r="F97" s="38" t="inlineStr">
        <is>
          <t>🔁 Weekly review — redo missed Qs, explain aloud (Feynman)</t>
        </is>
      </c>
      <c r="G97" s="38" t="inlineStr">
        <is>
          <t>🚀 Mini-project increment + plan next week</t>
        </is>
      </c>
      <c r="H97" s="36" t="n">
        <v>3.5</v>
      </c>
      <c r="I97" s="36" t="n"/>
      <c r="J97" s="36" t="inlineStr">
        <is>
          <t>Not Started</t>
        </is>
      </c>
      <c r="K97" s="38" t="n"/>
    </row>
    <row r="98" ht="42" customHeight="1">
      <c r="A98" s="35" t="n">
        <v>17</v>
      </c>
      <c r="B98" s="36" t="inlineStr">
        <is>
          <t>Mon</t>
        </is>
      </c>
      <c r="C98" s="37" t="n">
        <v>46314</v>
      </c>
      <c r="D98" s="36" t="inlineStr">
        <is>
          <t>Mon</t>
        </is>
      </c>
      <c r="E98" s="36" t="inlineStr">
        <is>
          <t>Transformers/LLMs + SAA begins</t>
        </is>
      </c>
      <c r="F98" s="38" t="inlineStr">
        <is>
          <t>🚀 Capstone 4: design RAG on Bedrock Knowledge Bases</t>
        </is>
      </c>
      <c r="G98" s="38" t="inlineStr">
        <is>
          <t>📖 SAA: architecture patterns (3-tier, serverless)</t>
        </is>
      </c>
      <c r="H98" s="36" t="n">
        <v>3.5</v>
      </c>
      <c r="I98" s="36" t="n"/>
      <c r="J98" s="36" t="inlineStr">
        <is>
          <t>Not Started</t>
        </is>
      </c>
      <c r="K98" s="38" t="n"/>
    </row>
    <row r="99" ht="42" customHeight="1">
      <c r="A99" s="35" t="n">
        <v>17</v>
      </c>
      <c r="B99" s="36" t="inlineStr">
        <is>
          <t>Tue</t>
        </is>
      </c>
      <c r="C99" s="37" t="n">
        <v>46315</v>
      </c>
      <c r="D99" s="36" t="inlineStr">
        <is>
          <t>Tue</t>
        </is>
      </c>
      <c r="E99" s="36" t="inlineStr">
        <is>
          <t>Transformers/LLMs + SAA begins</t>
        </is>
      </c>
      <c r="F99" s="38" t="inlineStr">
        <is>
          <t>💻 Capstone 4: ingest + chunk + embed documents</t>
        </is>
      </c>
      <c r="G99" s="38" t="inlineStr">
        <is>
          <t>📖 SAA: event-driven + data-lake patterns</t>
        </is>
      </c>
      <c r="H99" s="36" t="n">
        <v>3.5</v>
      </c>
      <c r="I99" s="36" t="n"/>
      <c r="J99" s="36" t="inlineStr">
        <is>
          <t>Not Started</t>
        </is>
      </c>
      <c r="K99" s="38" t="n"/>
    </row>
    <row r="100" ht="42" customHeight="1">
      <c r="A100" s="35" t="n">
        <v>17</v>
      </c>
      <c r="B100" s="36" t="inlineStr">
        <is>
          <t>Wed</t>
        </is>
      </c>
      <c r="C100" s="37" t="n">
        <v>46316</v>
      </c>
      <c r="D100" s="36" t="inlineStr">
        <is>
          <t>Wed</t>
        </is>
      </c>
      <c r="E100" s="36" t="inlineStr">
        <is>
          <t>Transformers/LLMs + SAA begins</t>
        </is>
      </c>
      <c r="F100" s="38" t="inlineStr">
        <is>
          <t>💻 Capstone 4: retrieval + Claude generation w/ citations</t>
        </is>
      </c>
      <c r="G100" s="38" t="inlineStr">
        <is>
          <t>🏋️ SAA practice questions (resilience/perf)</t>
        </is>
      </c>
      <c r="H100" s="36" t="n">
        <v>3.5</v>
      </c>
      <c r="I100" s="36" t="n"/>
      <c r="J100" s="36" t="inlineStr">
        <is>
          <t>Not Started</t>
        </is>
      </c>
      <c r="K100" s="38" t="n"/>
    </row>
    <row r="101" ht="42" customHeight="1">
      <c r="A101" s="35" t="n">
        <v>17</v>
      </c>
      <c r="B101" s="36" t="inlineStr">
        <is>
          <t>Thu</t>
        </is>
      </c>
      <c r="C101" s="37" t="n">
        <v>46317</v>
      </c>
      <c r="D101" s="36" t="inlineStr">
        <is>
          <t>Thu</t>
        </is>
      </c>
      <c r="E101" s="36" t="inlineStr">
        <is>
          <t>Transformers/LLMs + SAA begins</t>
        </is>
      </c>
      <c r="F101" s="38" t="inlineStr">
        <is>
          <t>💻 Capstone 4: add a small eval harness</t>
        </is>
      </c>
      <c r="G101" s="38" t="inlineStr">
        <is>
          <t>🏋️ SAA practice questions (security/cost)</t>
        </is>
      </c>
      <c r="H101" s="36" t="n">
        <v>3.5</v>
      </c>
      <c r="I101" s="36" t="n"/>
      <c r="J101" s="36" t="inlineStr">
        <is>
          <t>Not Started</t>
        </is>
      </c>
      <c r="K101" s="38" t="n"/>
    </row>
    <row r="102" ht="42" customHeight="1">
      <c r="A102" s="35" t="n">
        <v>17</v>
      </c>
      <c r="B102" s="36" t="inlineStr">
        <is>
          <t>Fri</t>
        </is>
      </c>
      <c r="C102" s="37" t="n">
        <v>46318</v>
      </c>
      <c r="D102" s="36" t="inlineStr">
        <is>
          <t>Fri</t>
        </is>
      </c>
      <c r="E102" s="36" t="inlineStr">
        <is>
          <t>Transformers/LLMs + SAA begins</t>
        </is>
      </c>
      <c r="F102" s="38" t="inlineStr">
        <is>
          <t>✨ Capstone 4: polish + write up</t>
        </is>
      </c>
      <c r="G102" s="38" t="inlineStr">
        <is>
          <t>❓ SAA practice exam — aim 70%+</t>
        </is>
      </c>
      <c r="H102" s="36" t="n">
        <v>3.5</v>
      </c>
      <c r="I102" s="36" t="n"/>
      <c r="J102" s="36" t="inlineStr">
        <is>
          <t>Not Started</t>
        </is>
      </c>
      <c r="K102" s="38" t="n"/>
    </row>
    <row r="103" ht="42" customHeight="1">
      <c r="A103" s="35" t="n">
        <v>17</v>
      </c>
      <c r="B103" s="36" t="inlineStr">
        <is>
          <t>Sat</t>
        </is>
      </c>
      <c r="C103" s="37" t="n">
        <v>46319</v>
      </c>
      <c r="D103" s="36" t="inlineStr">
        <is>
          <t>Sat</t>
        </is>
      </c>
      <c r="E103" s="36" t="inlineStr">
        <is>
          <t>Transformers/LLMs + SAA begins</t>
        </is>
      </c>
      <c r="F103" s="38" t="inlineStr">
        <is>
          <t>🔁 Month 4 review</t>
        </is>
      </c>
      <c r="G103" s="38" t="inlineStr">
        <is>
          <t>🎤 Demo Capstone 4; plan Month 5</t>
        </is>
      </c>
      <c r="H103" s="36" t="n">
        <v>3.5</v>
      </c>
      <c r="I103" s="36" t="n"/>
      <c r="J103" s="36" t="inlineStr">
        <is>
          <t>Not Started</t>
        </is>
      </c>
      <c r="K103" s="38" t="n"/>
    </row>
    <row r="104" ht="42" customHeight="1">
      <c r="A104" s="39" t="n">
        <v>18</v>
      </c>
      <c r="B104" s="40" t="inlineStr">
        <is>
          <t>Mon</t>
        </is>
      </c>
      <c r="C104" s="41" t="n">
        <v>46321</v>
      </c>
      <c r="D104" s="40" t="inlineStr">
        <is>
          <t>Mon</t>
        </is>
      </c>
      <c r="E104" s="40" t="inlineStr">
        <is>
          <t>Advanced AI Eng + SAA Exam</t>
        </is>
      </c>
      <c r="F104" s="42" t="inlineStr">
        <is>
          <t>📖 AWS AI/ML Services (Bedrock &amp; SageMaker) — read core concepts + notes (Pt 1)
[awscert/03-aws-ai-ml-services.md]</t>
        </is>
      </c>
      <c r="G104" s="42" t="inlineStr">
        <is>
          <t>💻 Code along with AWS AI/ML Services (Bedrock &amp; SageMaker) examples</t>
        </is>
      </c>
      <c r="H104" s="40" t="n">
        <v>3.5</v>
      </c>
      <c r="I104" s="40" t="n"/>
      <c r="J104" s="40" t="inlineStr">
        <is>
          <t>Not Started</t>
        </is>
      </c>
      <c r="K104" s="42" t="n"/>
    </row>
    <row r="105" ht="42" customHeight="1">
      <c r="A105" s="39" t="n">
        <v>18</v>
      </c>
      <c r="B105" s="40" t="inlineStr">
        <is>
          <t>Tue</t>
        </is>
      </c>
      <c r="C105" s="41" t="n">
        <v>46322</v>
      </c>
      <c r="D105" s="40" t="inlineStr">
        <is>
          <t>Tue</t>
        </is>
      </c>
      <c r="E105" s="40" t="inlineStr">
        <is>
          <t>Advanced AI Eng + SAA Exam</t>
        </is>
      </c>
      <c r="F105" s="42" t="inlineStr">
        <is>
          <t>📖 AWS AI/ML Services (Bedrock &amp; SageMaker) — concepts Pt 2 + work examples BY HAND</t>
        </is>
      </c>
      <c r="G105" s="42" t="inlineStr">
        <is>
          <t>📖 SAA deep review + practice — intro + code along
[awscert/02-aws-architect-associate-saa-c03.md]</t>
        </is>
      </c>
      <c r="H105" s="40" t="n">
        <v>3.5</v>
      </c>
      <c r="I105" s="40" t="n"/>
      <c r="J105" s="40" t="inlineStr">
        <is>
          <t>Not Started</t>
        </is>
      </c>
      <c r="K105" s="42" t="n"/>
    </row>
    <row r="106" ht="42" customHeight="1">
      <c r="A106" s="39" t="n">
        <v>18</v>
      </c>
      <c r="B106" s="40" t="inlineStr">
        <is>
          <t>Wed</t>
        </is>
      </c>
      <c r="C106" s="41" t="n">
        <v>46323</v>
      </c>
      <c r="D106" s="40" t="inlineStr">
        <is>
          <t>Wed</t>
        </is>
      </c>
      <c r="E106" s="40" t="inlineStr">
        <is>
          <t>Advanced AI Eng + SAA Exam</t>
        </is>
      </c>
      <c r="F106" s="42" t="inlineStr">
        <is>
          <t>🔬 AWS AI/ML Services (Bedrock &amp; SageMaker) — deep dive on the hardest subtopic</t>
        </is>
      </c>
      <c r="G106" s="42" t="inlineStr">
        <is>
          <t>🏋️ AWS AI/ML Services (Bedrock &amp; SageMaker) — exercises 1–3 (check solutions)</t>
        </is>
      </c>
      <c r="H106" s="40" t="n">
        <v>3.5</v>
      </c>
      <c r="I106" s="40" t="n"/>
      <c r="J106" s="40" t="inlineStr">
        <is>
          <t>Not Started</t>
        </is>
      </c>
      <c r="K106" s="42" t="n"/>
    </row>
    <row r="107" ht="42" customHeight="1">
      <c r="A107" s="39" t="n">
        <v>18</v>
      </c>
      <c r="B107" s="40" t="inlineStr">
        <is>
          <t>Thu</t>
        </is>
      </c>
      <c r="C107" s="41" t="n">
        <v>46324</v>
      </c>
      <c r="D107" s="40" t="inlineStr">
        <is>
          <t>Thu</t>
        </is>
      </c>
      <c r="E107" s="40" t="inlineStr">
        <is>
          <t>Advanced AI Eng + SAA Exam</t>
        </is>
      </c>
      <c r="F107" s="42" t="inlineStr">
        <is>
          <t>📖 SAA deep review + practice — deep dive + worked examples</t>
        </is>
      </c>
      <c r="G107" s="42" t="inlineStr">
        <is>
          <t>💻 SAA deep review + practice — code along + exercises</t>
        </is>
      </c>
      <c r="H107" s="40" t="n">
        <v>3.5</v>
      </c>
      <c r="I107" s="40" t="n"/>
      <c r="J107" s="40" t="inlineStr">
        <is>
          <t>Not Started</t>
        </is>
      </c>
      <c r="K107" s="42" t="n"/>
    </row>
    <row r="108" ht="42" customHeight="1">
      <c r="A108" s="39" t="n">
        <v>18</v>
      </c>
      <c r="B108" s="40" t="inlineStr">
        <is>
          <t>Fri</t>
        </is>
      </c>
      <c r="C108" s="41" t="n">
        <v>46325</v>
      </c>
      <c r="D108" s="40" t="inlineStr">
        <is>
          <t>Fri</t>
        </is>
      </c>
      <c r="E108" s="40" t="inlineStr">
        <is>
          <t>Advanced AI Eng + SAA Exam</t>
        </is>
      </c>
      <c r="F108" s="42" t="inlineStr">
        <is>
          <t>🧮 AWS AI/ML Services (Bedrock &amp; SageMaker) — from-scratch implementation / integrate</t>
        </is>
      </c>
      <c r="G108" s="42" t="inlineStr">
        <is>
          <t>❓ Quiz BOTH topics + make spaced-rep flashcards</t>
        </is>
      </c>
      <c r="H108" s="40" t="n">
        <v>3.5</v>
      </c>
      <c r="I108" s="40" t="n"/>
      <c r="J108" s="40" t="inlineStr">
        <is>
          <t>Not Started</t>
        </is>
      </c>
      <c r="K108" s="42" t="n"/>
    </row>
    <row r="109" ht="42" customHeight="1">
      <c r="A109" s="39" t="n">
        <v>18</v>
      </c>
      <c r="B109" s="40" t="inlineStr">
        <is>
          <t>Sat</t>
        </is>
      </c>
      <c r="C109" s="41" t="n">
        <v>46326</v>
      </c>
      <c r="D109" s="40" t="inlineStr">
        <is>
          <t>Sat</t>
        </is>
      </c>
      <c r="E109" s="40" t="inlineStr">
        <is>
          <t>Advanced AI Eng + SAA Exam</t>
        </is>
      </c>
      <c r="F109" s="42" t="inlineStr">
        <is>
          <t>🔁 Weekly review — redo missed Qs, explain aloud (Feynman)</t>
        </is>
      </c>
      <c r="G109" s="42" t="inlineStr">
        <is>
          <t>🚀 Mini-project increment + plan next week</t>
        </is>
      </c>
      <c r="H109" s="40" t="n">
        <v>3.5</v>
      </c>
      <c r="I109" s="40" t="n"/>
      <c r="J109" s="40" t="inlineStr">
        <is>
          <t>Not Started</t>
        </is>
      </c>
      <c r="K109" s="42" t="n"/>
    </row>
    <row r="110" ht="42" customHeight="1">
      <c r="A110" s="39" t="n">
        <v>19</v>
      </c>
      <c r="B110" s="40" t="inlineStr">
        <is>
          <t>Mon</t>
        </is>
      </c>
      <c r="C110" s="41" t="n">
        <v>46328</v>
      </c>
      <c r="D110" s="40" t="inlineStr">
        <is>
          <t>Mon</t>
        </is>
      </c>
      <c r="E110" s="40" t="inlineStr">
        <is>
          <t>Advanced AI Eng + SAA Exam</t>
        </is>
      </c>
      <c r="F110" s="42" t="inlineStr">
        <is>
          <t>📖 Reinforcement Learning + RLHF — read core concepts + notes (Pt 1)
[aideepmachinelearning/09-reinforcement-learning.md]</t>
        </is>
      </c>
      <c r="G110" s="42" t="inlineStr">
        <is>
          <t>💻 Code along with Reinforcement Learning + RLHF examples</t>
        </is>
      </c>
      <c r="H110" s="40" t="n">
        <v>3.5</v>
      </c>
      <c r="I110" s="40" t="n"/>
      <c r="J110" s="40" t="inlineStr">
        <is>
          <t>Not Started</t>
        </is>
      </c>
      <c r="K110" s="42" t="n"/>
    </row>
    <row r="111" ht="42" customHeight="1">
      <c r="A111" s="39" t="n">
        <v>19</v>
      </c>
      <c r="B111" s="40" t="inlineStr">
        <is>
          <t>Tue</t>
        </is>
      </c>
      <c r="C111" s="41" t="n">
        <v>46329</v>
      </c>
      <c r="D111" s="40" t="inlineStr">
        <is>
          <t>Tue</t>
        </is>
      </c>
      <c r="E111" s="40" t="inlineStr">
        <is>
          <t>Advanced AI Eng + SAA Exam</t>
        </is>
      </c>
      <c r="F111" s="42" t="inlineStr">
        <is>
          <t>📖 Reinforcement Learning + RLHF — concepts Pt 2 + work examples BY HAND</t>
        </is>
      </c>
      <c r="G111" s="42" t="inlineStr">
        <is>
          <t>📖 SAA-C03 full practice exams — intro + code along
[awscert/04-aws-exam-strategy-practice.md]</t>
        </is>
      </c>
      <c r="H111" s="40" t="n">
        <v>3.5</v>
      </c>
      <c r="I111" s="40" t="n"/>
      <c r="J111" s="40" t="inlineStr">
        <is>
          <t>Not Started</t>
        </is>
      </c>
      <c r="K111" s="42" t="n"/>
    </row>
    <row r="112" ht="42" customHeight="1">
      <c r="A112" s="39" t="n">
        <v>19</v>
      </c>
      <c r="B112" s="40" t="inlineStr">
        <is>
          <t>Wed</t>
        </is>
      </c>
      <c r="C112" s="41" t="n">
        <v>46330</v>
      </c>
      <c r="D112" s="40" t="inlineStr">
        <is>
          <t>Wed</t>
        </is>
      </c>
      <c r="E112" s="40" t="inlineStr">
        <is>
          <t>Advanced AI Eng + SAA Exam</t>
        </is>
      </c>
      <c r="F112" s="42" t="inlineStr">
        <is>
          <t>🔬 Reinforcement Learning + RLHF — deep dive on the hardest subtopic</t>
        </is>
      </c>
      <c r="G112" s="42" t="inlineStr">
        <is>
          <t>🏋️ Reinforcement Learning + RLHF — exercises 1–3 (check solutions)</t>
        </is>
      </c>
      <c r="H112" s="40" t="n">
        <v>3.5</v>
      </c>
      <c r="I112" s="40" t="n"/>
      <c r="J112" s="40" t="inlineStr">
        <is>
          <t>Not Started</t>
        </is>
      </c>
      <c r="K112" s="42" t="n"/>
    </row>
    <row r="113" ht="42" customHeight="1">
      <c r="A113" s="39" t="n">
        <v>19</v>
      </c>
      <c r="B113" s="40" t="inlineStr">
        <is>
          <t>Thu</t>
        </is>
      </c>
      <c r="C113" s="41" t="n">
        <v>46331</v>
      </c>
      <c r="D113" s="40" t="inlineStr">
        <is>
          <t>Thu</t>
        </is>
      </c>
      <c r="E113" s="40" t="inlineStr">
        <is>
          <t>Advanced AI Eng + SAA Exam</t>
        </is>
      </c>
      <c r="F113" s="42" t="inlineStr">
        <is>
          <t>📖 SAA-C03 full practice exams — deep dive + worked examples</t>
        </is>
      </c>
      <c r="G113" s="42" t="inlineStr">
        <is>
          <t>💻 SAA-C03 full practice exams — code along + exercises</t>
        </is>
      </c>
      <c r="H113" s="40" t="n">
        <v>3.5</v>
      </c>
      <c r="I113" s="40" t="n"/>
      <c r="J113" s="40" t="inlineStr">
        <is>
          <t>Not Started</t>
        </is>
      </c>
      <c r="K113" s="42" t="n"/>
    </row>
    <row r="114" ht="42" customHeight="1">
      <c r="A114" s="39" t="n">
        <v>19</v>
      </c>
      <c r="B114" s="40" t="inlineStr">
        <is>
          <t>Fri</t>
        </is>
      </c>
      <c r="C114" s="41" t="n">
        <v>46332</v>
      </c>
      <c r="D114" s="40" t="inlineStr">
        <is>
          <t>Fri</t>
        </is>
      </c>
      <c r="E114" s="40" t="inlineStr">
        <is>
          <t>Advanced AI Eng + SAA Exam</t>
        </is>
      </c>
      <c r="F114" s="42" t="inlineStr">
        <is>
          <t>🧮 Reinforcement Learning + RLHF — from-scratch implementation / integrate</t>
        </is>
      </c>
      <c r="G114" s="42" t="inlineStr">
        <is>
          <t>❓ Quiz BOTH topics + make spaced-rep flashcards</t>
        </is>
      </c>
      <c r="H114" s="40" t="n">
        <v>3.5</v>
      </c>
      <c r="I114" s="40" t="n"/>
      <c r="J114" s="40" t="inlineStr">
        <is>
          <t>Not Started</t>
        </is>
      </c>
      <c r="K114" s="42" t="n"/>
    </row>
    <row r="115" ht="42" customHeight="1">
      <c r="A115" s="39" t="n">
        <v>19</v>
      </c>
      <c r="B115" s="40" t="inlineStr">
        <is>
          <t>Sat</t>
        </is>
      </c>
      <c r="C115" s="41" t="n">
        <v>46333</v>
      </c>
      <c r="D115" s="40" t="inlineStr">
        <is>
          <t>Sat</t>
        </is>
      </c>
      <c r="E115" s="40" t="inlineStr">
        <is>
          <t>Advanced AI Eng + SAA Exam</t>
        </is>
      </c>
      <c r="F115" s="42" t="inlineStr">
        <is>
          <t>🔁 Weekly review — redo missed Qs, explain aloud (Feynman)</t>
        </is>
      </c>
      <c r="G115" s="42" t="inlineStr">
        <is>
          <t>🚀 Mini-project increment + plan next week</t>
        </is>
      </c>
      <c r="H115" s="40" t="n">
        <v>3.5</v>
      </c>
      <c r="I115" s="40" t="n"/>
      <c r="J115" s="40" t="inlineStr">
        <is>
          <t>Not Started</t>
        </is>
      </c>
      <c r="K115" s="42" t="n"/>
    </row>
    <row r="116" ht="42" customHeight="1">
      <c r="A116" s="39" t="n">
        <v>20</v>
      </c>
      <c r="B116" s="40" t="inlineStr">
        <is>
          <t>Mon</t>
        </is>
      </c>
      <c r="C116" s="41" t="n">
        <v>46335</v>
      </c>
      <c r="D116" s="40" t="inlineStr">
        <is>
          <t>Mon</t>
        </is>
      </c>
      <c r="E116" s="40" t="inlineStr">
        <is>
          <t>Advanced AI Eng + SAA Exam</t>
        </is>
      </c>
      <c r="F116" s="42" t="inlineStr">
        <is>
          <t>🚀 Capstone 5: design SageMaker MLOps pipeline</t>
        </is>
      </c>
      <c r="G116" s="42" t="inlineStr">
        <is>
          <t>📚 SAA final review — weakest domains</t>
        </is>
      </c>
      <c r="H116" s="40" t="n">
        <v>3.5</v>
      </c>
      <c r="I116" s="40" t="n"/>
      <c r="J116" s="40" t="inlineStr">
        <is>
          <t>Not Started</t>
        </is>
      </c>
      <c r="K116" s="42" t="n"/>
    </row>
    <row r="117" ht="42" customHeight="1">
      <c r="A117" s="39" t="n">
        <v>20</v>
      </c>
      <c r="B117" s="40" t="inlineStr">
        <is>
          <t>Tue</t>
        </is>
      </c>
      <c r="C117" s="41" t="n">
        <v>46336</v>
      </c>
      <c r="D117" s="40" t="inlineStr">
        <is>
          <t>Tue</t>
        </is>
      </c>
      <c r="E117" s="40" t="inlineStr">
        <is>
          <t>Advanced AI Eng + SAA Exam</t>
        </is>
      </c>
      <c r="F117" s="42" t="inlineStr">
        <is>
          <t>💻 Capstone 5: training + Model Registry + endpoint</t>
        </is>
      </c>
      <c r="G117" s="42" t="inlineStr">
        <is>
          <t>❓ SAA final full-length practice exam</t>
        </is>
      </c>
      <c r="H117" s="40" t="n">
        <v>3.5</v>
      </c>
      <c r="I117" s="40" t="n"/>
      <c r="J117" s="40" t="inlineStr">
        <is>
          <t>Not Started</t>
        </is>
      </c>
      <c r="K117" s="42" t="n"/>
    </row>
    <row r="118" ht="42" customHeight="1">
      <c r="A118" s="39" t="n">
        <v>20</v>
      </c>
      <c r="B118" s="40" t="inlineStr">
        <is>
          <t>Wed</t>
        </is>
      </c>
      <c r="C118" s="41" t="n">
        <v>46337</v>
      </c>
      <c r="D118" s="40" t="inlineStr">
        <is>
          <t>Wed</t>
        </is>
      </c>
      <c r="E118" s="40" t="inlineStr">
        <is>
          <t>Advanced AI Eng + SAA Exam</t>
        </is>
      </c>
      <c r="F118" s="42" t="inlineStr">
        <is>
          <t>💻 Capstone 5: add Model Monitor (drift) + pipeline</t>
        </is>
      </c>
      <c r="G118" s="42" t="inlineStr">
        <is>
          <t>🔍 Review all SAA misses + cheat sheets</t>
        </is>
      </c>
      <c r="H118" s="40" t="n">
        <v>3.5</v>
      </c>
      <c r="I118" s="40" t="n"/>
      <c r="J118" s="40" t="inlineStr">
        <is>
          <t>Not Started</t>
        </is>
      </c>
      <c r="K118" s="42" t="n"/>
    </row>
    <row r="119" ht="42" customHeight="1">
      <c r="A119" s="39" t="n">
        <v>20</v>
      </c>
      <c r="B119" s="40" t="inlineStr">
        <is>
          <t>Thu</t>
        </is>
      </c>
      <c r="C119" s="41" t="n">
        <v>46338</v>
      </c>
      <c r="D119" s="40" t="inlineStr">
        <is>
          <t>Thu</t>
        </is>
      </c>
      <c r="E119" s="40" t="inlineStr">
        <is>
          <t>Advanced AI Eng + SAA Exam</t>
        </is>
      </c>
      <c r="F119" s="42" t="inlineStr">
        <is>
          <t>🎯 SAA-C03 EXAM DAY</t>
        </is>
      </c>
      <c r="G119" s="42" t="inlineStr">
        <is>
          <t>🎉 Decompress / log result</t>
        </is>
      </c>
      <c r="H119" s="40" t="n">
        <v>3.5</v>
      </c>
      <c r="I119" s="40" t="n"/>
      <c r="J119" s="40" t="inlineStr">
        <is>
          <t>Not Started</t>
        </is>
      </c>
      <c r="K119" s="42" t="n"/>
    </row>
    <row r="120" ht="42" customHeight="1">
      <c r="A120" s="39" t="n">
        <v>20</v>
      </c>
      <c r="B120" s="40" t="inlineStr">
        <is>
          <t>Fri</t>
        </is>
      </c>
      <c r="C120" s="41" t="n">
        <v>46339</v>
      </c>
      <c r="D120" s="40" t="inlineStr">
        <is>
          <t>Fri</t>
        </is>
      </c>
      <c r="E120" s="40" t="inlineStr">
        <is>
          <t>Advanced AI Eng + SAA Exam</t>
        </is>
      </c>
      <c r="F120" s="42" t="inlineStr">
        <is>
          <t>✨ Capstone 5: finish + write up all 5 capstones</t>
        </is>
      </c>
      <c r="G120" s="42" t="inlineStr">
        <is>
          <t>🎤 Prepare Demo Day deck</t>
        </is>
      </c>
      <c r="H120" s="40" t="n">
        <v>3.5</v>
      </c>
      <c r="I120" s="40" t="n"/>
      <c r="J120" s="40" t="inlineStr">
        <is>
          <t>Not Started</t>
        </is>
      </c>
      <c r="K120" s="42" t="n"/>
    </row>
    <row r="121" ht="42" customHeight="1">
      <c r="A121" s="39" t="n">
        <v>20</v>
      </c>
      <c r="B121" s="40" t="inlineStr">
        <is>
          <t>Sat</t>
        </is>
      </c>
      <c r="C121" s="41" t="n">
        <v>46340</v>
      </c>
      <c r="D121" s="40" t="inlineStr">
        <is>
          <t>Sat</t>
        </is>
      </c>
      <c r="E121" s="40" t="inlineStr">
        <is>
          <t>Advanced AI Eng + SAA Exam</t>
        </is>
      </c>
      <c r="F121" s="42" t="inlineStr">
        <is>
          <t>🎉 DEMO DAY: present all 5 capstones</t>
        </is>
      </c>
      <c r="G121" s="42" t="inlineStr">
        <is>
          <t>🏆 Retrospective: 5 months done — plan what's next</t>
        </is>
      </c>
      <c r="H121" s="40" t="n">
        <v>3.5</v>
      </c>
      <c r="I121" s="40" t="n"/>
      <c r="J121" s="40" t="inlineStr">
        <is>
          <t>Not Started</t>
        </is>
      </c>
      <c r="K121" s="42" t="n"/>
    </row>
  </sheetData>
  <conditionalFormatting sqref="J2:J12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"Skipped"</formula>
    </cfRule>
  </conditionalFormatting>
  <dataValidations count="1">
    <dataValidation sqref="J2:J121" showDropDown="0" showInputMessage="0" showErrorMessage="0" allowBlank="1" type="list">
      <formula1>"Not Started,In Progress,Done,Skipped"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7C86"/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30" customWidth="1" min="4" max="4"/>
    <col width="70" customWidth="1" min="5" max="5"/>
    <col width="12" customWidth="1" min="6" max="6"/>
    <col width="36" customWidth="1" min="7" max="7"/>
  </cols>
  <sheetData>
    <row r="1">
      <c r="A1" s="14" t="inlineStr">
        <is>
          <t>Week</t>
        </is>
      </c>
      <c r="B1" s="14" t="inlineStr">
        <is>
          <t>Dates</t>
        </is>
      </c>
      <c r="C1" s="14" t="inlineStr">
        <is>
          <t>Month</t>
        </is>
      </c>
      <c r="D1" s="14" t="inlineStr">
        <is>
          <t>Theme</t>
        </is>
      </c>
      <c r="E1" s="14" t="inlineStr">
        <is>
          <t>✅ Milestone — what you can DO</t>
        </is>
      </c>
      <c r="F1" s="14" t="inlineStr">
        <is>
          <t>Achieved?</t>
        </is>
      </c>
      <c r="G1" s="14" t="inlineStr">
        <is>
          <t>Reflection / blockers</t>
        </is>
      </c>
    </row>
    <row r="2" ht="34" customHeight="1">
      <c r="A2" s="43" t="n">
        <v>1</v>
      </c>
      <c r="B2" s="44" t="inlineStr">
        <is>
          <t>29 Jun – 04 Jul 2026</t>
        </is>
      </c>
      <c r="C2" s="44" t="inlineStr">
        <is>
          <t>M1</t>
        </is>
      </c>
      <c r="D2" s="45" t="inlineStr">
        <is>
          <t>Foundations: Math + Python</t>
        </is>
      </c>
      <c r="E2" s="45" t="inlineStr">
        <is>
          <t>Manipulate vectors/matrices in NumPy; explain eigen/SVD/PCA; write idiomatic Python (decorators, generators, type hints).</t>
        </is>
      </c>
      <c r="F2" s="44" t="inlineStr">
        <is>
          <t>No</t>
        </is>
      </c>
      <c r="G2" s="45" t="n"/>
    </row>
    <row r="3" ht="34" customHeight="1">
      <c r="A3" s="43" t="n">
        <v>2</v>
      </c>
      <c r="B3" s="44" t="inlineStr">
        <is>
          <t>06 Jul – 11 Jul 2026</t>
        </is>
      </c>
      <c r="C3" s="44" t="inlineStr">
        <is>
          <t>M1</t>
        </is>
      </c>
      <c r="D3" s="45" t="inlineStr">
        <is>
          <t>Foundations: Math + Python</t>
        </is>
      </c>
      <c r="E3" s="45" t="inlineStr">
        <is>
          <t>Derive &amp; implement gradient descent from scratch; fluent NumPy broadcasting + Pandas groupby/merge.</t>
        </is>
      </c>
      <c r="F3" s="44" t="inlineStr">
        <is>
          <t>No</t>
        </is>
      </c>
      <c r="G3" s="45" t="n"/>
    </row>
    <row r="4" ht="34" customHeight="1">
      <c r="A4" s="43" t="n">
        <v>3</v>
      </c>
      <c r="B4" s="44" t="inlineStr">
        <is>
          <t>13 Jul – 18 Jul 2026</t>
        </is>
      </c>
      <c r="C4" s="44" t="inlineStr">
        <is>
          <t>M1</t>
        </is>
      </c>
      <c r="D4" s="45" t="inlineStr">
        <is>
          <t>Foundations: Math + Python</t>
        </is>
      </c>
      <c r="E4" s="45" t="inlineStr">
        <is>
          <t>Apply Bayes/MLE/MAP; explain cross-entropy &amp; KL; run a full EDA on a real dataset.</t>
        </is>
      </c>
      <c r="F4" s="44" t="inlineStr">
        <is>
          <t>No</t>
        </is>
      </c>
      <c r="G4" s="45" t="n"/>
    </row>
    <row r="5" ht="34" customHeight="1">
      <c r="A5" s="43" t="n">
        <v>4</v>
      </c>
      <c r="B5" s="44" t="inlineStr">
        <is>
          <t>20 Jul – 25 Jul 2026</t>
        </is>
      </c>
      <c r="C5" s="44" t="inlineStr">
        <is>
          <t>M1</t>
        </is>
      </c>
      <c r="D5" s="45" t="inlineStr">
        <is>
          <t>Foundations: Math + Python</t>
        </is>
      </c>
      <c r="E5" s="45" t="inlineStr">
        <is>
          <t>Explain entropy/KL/info-gain; build a leakage-free sklearn Pipeline. ✅ CAPSTONE 1: linear regression from scratch (NumPy).   [🏁 Capstone 1]</t>
        </is>
      </c>
      <c r="F5" s="44" t="inlineStr">
        <is>
          <t>No</t>
        </is>
      </c>
      <c r="G5" s="45" t="n"/>
    </row>
    <row r="6" ht="34" customHeight="1">
      <c r="A6" s="46" t="n">
        <v>5</v>
      </c>
      <c r="B6" s="47" t="inlineStr">
        <is>
          <t>27 Jul – 01 Aug 2026</t>
        </is>
      </c>
      <c r="C6" s="47" t="inlineStr">
        <is>
          <t>M2</t>
        </is>
      </c>
      <c r="D6" s="48" t="inlineStr">
        <is>
          <t>ML Core + AWS Dev begins</t>
        </is>
      </c>
      <c r="E6" s="48" t="inlineStr">
        <is>
          <t>Diagnose bias/variance &amp; data leakage; train a model in PyTorch with the canonical loop.</t>
        </is>
      </c>
      <c r="F6" s="47" t="inlineStr">
        <is>
          <t>No</t>
        </is>
      </c>
      <c r="G6" s="48" t="n"/>
    </row>
    <row r="7" ht="34" customHeight="1">
      <c r="A7" s="46" t="n">
        <v>6</v>
      </c>
      <c r="B7" s="47" t="inlineStr">
        <is>
          <t>03 Aug – 08 Aug 2026</t>
        </is>
      </c>
      <c r="C7" s="47" t="inlineStr">
        <is>
          <t>M2</t>
        </is>
      </c>
      <c r="D7" s="48" t="inlineStr">
        <is>
          <t>ML Core + AWS Dev begins</t>
        </is>
      </c>
      <c r="E7" s="48" t="inlineStr">
        <is>
          <t>Pick &amp; tune the right supervised model; call Claude/OpenAI APIs; build top-k retrieval.</t>
        </is>
      </c>
      <c r="F7" s="47" t="inlineStr">
        <is>
          <t>No</t>
        </is>
      </c>
      <c r="G7" s="48" t="n"/>
    </row>
    <row r="8" ht="34" customHeight="1">
      <c r="A8" s="46" t="n">
        <v>7</v>
      </c>
      <c r="B8" s="47" t="inlineStr">
        <is>
          <t>10 Aug – 15 Aug 2026</t>
        </is>
      </c>
      <c r="C8" s="47" t="inlineStr">
        <is>
          <t>M2</t>
        </is>
      </c>
      <c r="D8" s="48" t="inlineStr">
        <is>
          <t>ML Core + AWS Dev begins</t>
        </is>
      </c>
      <c r="E8" s="48" t="inlineStr">
        <is>
          <t>Cluster + reduce dimensions (PCA/UMAP); master serverless core for DVA.</t>
        </is>
      </c>
      <c r="F8" s="47" t="inlineStr">
        <is>
          <t>No</t>
        </is>
      </c>
      <c r="G8" s="48" t="n"/>
    </row>
    <row r="9" ht="34" customHeight="1">
      <c r="A9" s="46" t="n">
        <v>8</v>
      </c>
      <c r="B9" s="47" t="inlineStr">
        <is>
          <t>17 Aug – 22 Aug 2026</t>
        </is>
      </c>
      <c r="C9" s="47" t="inlineStr">
        <is>
          <t>M2</t>
        </is>
      </c>
      <c r="D9" s="48" t="inlineStr">
        <is>
          <t>ML Core + AWS Dev begins</t>
        </is>
      </c>
      <c r="E9" s="48" t="inlineStr">
        <is>
          <t>CI/CD (CodePipeline), IAM/KMS for DVA. ✅ CAPSTONE 2: end-to-end scikit-learn classification pipeline.   [🏁 Capstone 2]</t>
        </is>
      </c>
      <c r="F9" s="47" t="inlineStr">
        <is>
          <t>No</t>
        </is>
      </c>
      <c r="G9" s="48" t="n"/>
    </row>
    <row r="10" ht="34" customHeight="1">
      <c r="A10" s="49" t="n">
        <v>9</v>
      </c>
      <c r="B10" s="50" t="inlineStr">
        <is>
          <t>24 Aug – 29 Aug 2026</t>
        </is>
      </c>
      <c r="C10" s="50" t="inlineStr">
        <is>
          <t>M3</t>
        </is>
      </c>
      <c r="D10" s="51" t="inlineStr">
        <is>
          <t>Deep Learning + DVA Exam</t>
        </is>
      </c>
      <c r="E10" s="51" t="inlineStr">
        <is>
          <t>Derive backprop; implement a NN from scratch (NumPy); 70%+ on DVA practice set.</t>
        </is>
      </c>
      <c r="F10" s="50" t="inlineStr">
        <is>
          <t>No</t>
        </is>
      </c>
      <c r="G10" s="51" t="n"/>
    </row>
    <row r="11" ht="34" customHeight="1">
      <c r="A11" s="49" t="n">
        <v>10</v>
      </c>
      <c r="B11" s="50" t="inlineStr">
        <is>
          <t>31 Aug – 05 Sep 2026</t>
        </is>
      </c>
      <c r="C11" s="50" t="inlineStr">
        <is>
          <t>M3</t>
        </is>
      </c>
      <c r="D11" s="51" t="inlineStr">
        <is>
          <t>Deep Learning + DVA Exam</t>
        </is>
      </c>
      <c r="E11" s="51" t="inlineStr">
        <is>
          <t>Explain ResNet/transfer learning; fine-tune a pretrained CNN; 75%+ DVA practice.</t>
        </is>
      </c>
      <c r="F11" s="50" t="inlineStr">
        <is>
          <t>No</t>
        </is>
      </c>
      <c r="G11" s="51" t="n"/>
    </row>
    <row r="12" ht="34" customHeight="1">
      <c r="A12" s="49" t="n">
        <v>11</v>
      </c>
      <c r="B12" s="50" t="inlineStr">
        <is>
          <t>07 Sep – 12 Sep 2026</t>
        </is>
      </c>
      <c r="C12" s="50" t="inlineStr">
        <is>
          <t>M3</t>
        </is>
      </c>
      <c r="D12" s="51" t="inlineStr">
        <is>
          <t>Deep Learning + DVA Exam</t>
        </is>
      </c>
      <c r="E12" s="51" t="inlineStr">
        <is>
          <t>Consistent 80%+ on DVA practice exams.</t>
        </is>
      </c>
      <c r="F12" s="50" t="inlineStr">
        <is>
          <t>No</t>
        </is>
      </c>
      <c r="G12" s="51" t="n"/>
    </row>
    <row r="13" ht="34" customHeight="1">
      <c r="A13" s="49" t="n">
        <v>12</v>
      </c>
      <c r="B13" s="50" t="inlineStr">
        <is>
          <t>14 Sep – 19 Sep 2026</t>
        </is>
      </c>
      <c r="C13" s="50" t="inlineStr">
        <is>
          <t>M3</t>
        </is>
      </c>
      <c r="D13" s="51" t="inlineStr">
        <is>
          <t>Deep Learning + DVA Exam</t>
        </is>
      </c>
      <c r="E13" s="51" t="inlineStr">
        <is>
          <t>✅ CAPSTONE 3: CNN transfer-learning classifier deployed to AWS Lambda; 85%+ practice.   [🏁 Capstone 3]</t>
        </is>
      </c>
      <c r="F13" s="50" t="inlineStr">
        <is>
          <t>No</t>
        </is>
      </c>
      <c r="G13" s="51" t="n"/>
    </row>
    <row r="14" ht="34" customHeight="1">
      <c r="A14" s="49" t="n">
        <v>13</v>
      </c>
      <c r="B14" s="50" t="inlineStr">
        <is>
          <t>21 Sep – 26 Sep 2026</t>
        </is>
      </c>
      <c r="C14" s="50" t="inlineStr">
        <is>
          <t>M3</t>
        </is>
      </c>
      <c r="D14" s="51" t="inlineStr">
        <is>
          <t>Deep Learning + DVA Exam</t>
        </is>
      </c>
      <c r="E14" s="51" t="inlineStr">
        <is>
          <t>🎯 PASS the AWS Certified Developer – Associate (DVA-C02) exam.   [🎯 DVA-C02 EXAM]</t>
        </is>
      </c>
      <c r="F14" s="50" t="inlineStr">
        <is>
          <t>No</t>
        </is>
      </c>
      <c r="G14" s="51" t="n"/>
    </row>
    <row r="15" ht="34" customHeight="1">
      <c r="A15" s="52" t="n">
        <v>14</v>
      </c>
      <c r="B15" s="53" t="inlineStr">
        <is>
          <t>28 Sep – 03 Oct 2026</t>
        </is>
      </c>
      <c r="C15" s="53" t="inlineStr">
        <is>
          <t>M4</t>
        </is>
      </c>
      <c r="D15" s="54" t="inlineStr">
        <is>
          <t>Transformers/LLMs + SAA begins</t>
        </is>
      </c>
      <c r="E15" s="54" t="inlineStr">
        <is>
          <t>Implement scaled dot-product + multi-head attention from scratch; explain LSTM gating &amp; seq2seq.</t>
        </is>
      </c>
      <c r="F15" s="53" t="inlineStr">
        <is>
          <t>No</t>
        </is>
      </c>
      <c r="G15" s="54" t="n"/>
    </row>
    <row r="16" ht="34" customHeight="1">
      <c r="A16" s="52" t="n">
        <v>15</v>
      </c>
      <c r="B16" s="53" t="inlineStr">
        <is>
          <t>05 Oct – 10 Oct 2026</t>
        </is>
      </c>
      <c r="C16" s="53" t="inlineStr">
        <is>
          <t>M4</t>
        </is>
      </c>
      <c r="D16" s="54" t="inlineStr">
        <is>
          <t>Transformers/LLMs + SAA begins</t>
        </is>
      </c>
      <c r="E16" s="54" t="inlineStr">
        <is>
          <t>Design a RAG pipeline &amp; agent loop; master VPC/Multi-AZ/DR for SAA.</t>
        </is>
      </c>
      <c r="F16" s="53" t="inlineStr">
        <is>
          <t>No</t>
        </is>
      </c>
      <c r="G16" s="54" t="n"/>
    </row>
    <row r="17" ht="34" customHeight="1">
      <c r="A17" s="52" t="n">
        <v>16</v>
      </c>
      <c r="B17" s="53" t="inlineStr">
        <is>
          <t>12 Oct – 17 Oct 2026</t>
        </is>
      </c>
      <c r="C17" s="53" t="inlineStr">
        <is>
          <t>M4</t>
        </is>
      </c>
      <c r="D17" s="54" t="inlineStr">
        <is>
          <t>Transformers/LLMs + SAA begins</t>
        </is>
      </c>
      <c r="E17" s="54" t="inlineStr">
        <is>
          <t>Explain drift monitoring &amp; serving patterns; SAA security &amp; cost pillars.</t>
        </is>
      </c>
      <c r="F17" s="53" t="inlineStr">
        <is>
          <t>No</t>
        </is>
      </c>
      <c r="G17" s="54" t="n"/>
    </row>
    <row r="18" ht="34" customHeight="1">
      <c r="A18" s="52" t="n">
        <v>17</v>
      </c>
      <c r="B18" s="53" t="inlineStr">
        <is>
          <t>19 Oct – 24 Oct 2026</t>
        </is>
      </c>
      <c r="C18" s="53" t="inlineStr">
        <is>
          <t>M4</t>
        </is>
      </c>
      <c r="D18" s="54" t="inlineStr">
        <is>
          <t>Transformers/LLMs + SAA begins</t>
        </is>
      </c>
      <c r="E18" s="54" t="inlineStr">
        <is>
          <t>✅ CAPSTONE 4: RAG chatbot on AWS Bedrock + vector store; 70%+ SAA practice.   [🏁 Capstone 4]</t>
        </is>
      </c>
      <c r="F18" s="53" t="inlineStr">
        <is>
          <t>No</t>
        </is>
      </c>
      <c r="G18" s="54" t="n"/>
    </row>
    <row r="19" ht="34" customHeight="1">
      <c r="A19" s="55" t="n">
        <v>18</v>
      </c>
      <c r="B19" s="56" t="inlineStr">
        <is>
          <t>26 Oct – 31 Oct 2026</t>
        </is>
      </c>
      <c r="C19" s="56" t="inlineStr">
        <is>
          <t>M5</t>
        </is>
      </c>
      <c r="D19" s="57" t="inlineStr">
        <is>
          <t>Advanced AI Eng + SAA Exam</t>
        </is>
      </c>
      <c r="E19" s="57" t="inlineStr">
        <is>
          <t>Navigate Bedrock &amp; SageMaker confidently; 78%+ SAA practice.</t>
        </is>
      </c>
      <c r="F19" s="56" t="inlineStr">
        <is>
          <t>No</t>
        </is>
      </c>
      <c r="G19" s="57" t="n"/>
    </row>
    <row r="20" ht="34" customHeight="1">
      <c r="A20" s="55" t="n">
        <v>19</v>
      </c>
      <c r="B20" s="56" t="inlineStr">
        <is>
          <t>02 Nov – 07 Nov 2026</t>
        </is>
      </c>
      <c r="C20" s="56" t="inlineStr">
        <is>
          <t>M5</t>
        </is>
      </c>
      <c r="D20" s="57" t="inlineStr">
        <is>
          <t>Advanced AI Eng + SAA Exam</t>
        </is>
      </c>
      <c r="E20" s="57" t="inlineStr">
        <is>
          <t>Explain Q-learning/PPO &amp; how RLHF aligns LLMs; consistent 85%+ SAA practice.</t>
        </is>
      </c>
      <c r="F20" s="56" t="inlineStr">
        <is>
          <t>No</t>
        </is>
      </c>
      <c r="G20" s="57" t="n"/>
    </row>
    <row r="21" ht="34" customHeight="1">
      <c r="A21" s="55" t="n">
        <v>20</v>
      </c>
      <c r="B21" s="56" t="inlineStr">
        <is>
          <t>09 Nov – 14 Nov 2026</t>
        </is>
      </c>
      <c r="C21" s="56" t="inlineStr">
        <is>
          <t>M5</t>
        </is>
      </c>
      <c r="D21" s="57" t="inlineStr">
        <is>
          <t>Advanced AI Eng + SAA Exam</t>
        </is>
      </c>
      <c r="E21" s="57" t="inlineStr">
        <is>
          <t>🎯 PASS the AWS SAA-C03 exam. ✅ CAPSTONE 5: SageMaker MLOps pipeline w/ monitoring. 🎉 Demo Day!   [🎯 SAA-C03 EXAM + 🏁 Capstone 5]</t>
        </is>
      </c>
      <c r="F21" s="56" t="inlineStr">
        <is>
          <t>No</t>
        </is>
      </c>
      <c r="G21" s="57" t="n"/>
    </row>
  </sheetData>
  <conditionalFormatting sqref="F2:F21">
    <cfRule type="cellIs" priority="1" operator="equal" dxfId="3">
      <formula>"Yes"</formula>
    </cfRule>
  </conditionalFormatting>
  <dataValidations count="1">
    <dataValidation sqref="F2:F21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34" customWidth="1" min="3" max="3"/>
    <col width="56" customWidth="1" min="4" max="4"/>
    <col width="52" customWidth="1" min="5" max="5"/>
    <col width="14" customWidth="1" min="6" max="6"/>
    <col width="26" customWidth="1" min="7" max="7"/>
  </cols>
  <sheetData>
    <row r="1">
      <c r="A1" s="19" t="inlineStr">
        <is>
          <t>#</t>
        </is>
      </c>
      <c r="B1" s="19" t="inlineStr">
        <is>
          <t>Month</t>
        </is>
      </c>
      <c r="C1" s="19" t="inlineStr">
        <is>
          <t>Project</t>
        </is>
      </c>
      <c r="D1" s="19" t="inlineStr">
        <is>
          <t>Specification</t>
        </is>
      </c>
      <c r="E1" s="19" t="inlineStr">
        <is>
          <t>Acceptance criteria</t>
        </is>
      </c>
      <c r="F1" s="19" t="inlineStr">
        <is>
          <t>Status</t>
        </is>
      </c>
      <c r="G1" s="19" t="inlineStr">
        <is>
          <t>Link / repo</t>
        </is>
      </c>
    </row>
    <row r="2" ht="70" customHeight="1">
      <c r="A2" s="17" t="n">
        <v>1</v>
      </c>
      <c r="B2" s="17" t="inlineStr">
        <is>
          <t>M1</t>
        </is>
      </c>
      <c r="C2" s="58" t="inlineStr">
        <is>
          <t>Linear Regression from scratch (NumPy)</t>
        </is>
      </c>
      <c r="D2" s="58" t="inlineStr">
        <is>
          <t>Implement OLS via the normal equation AND via batch gradient descent, using only NumPy. Plot the loss curve.</t>
        </is>
      </c>
      <c r="E2" s="58" t="inlineStr">
        <is>
          <t>Matches sklearn's LinearRegression coefficients within tolerance; loss decreases monotonically; README explains the math.</t>
        </is>
      </c>
      <c r="F2" s="17" t="inlineStr">
        <is>
          <t>Not Started</t>
        </is>
      </c>
      <c r="G2" s="58" t="n"/>
    </row>
    <row r="3" ht="70" customHeight="1">
      <c r="A3" s="17" t="n">
        <v>2</v>
      </c>
      <c r="B3" s="17" t="inlineStr">
        <is>
          <t>M2</t>
        </is>
      </c>
      <c r="C3" s="58" t="inlineStr">
        <is>
          <t>End-to-end scikit-learn classification pipeline</t>
        </is>
      </c>
      <c r="D3" s="58" t="inlineStr">
        <is>
          <t>Full pipeline on a real dataset: EDA → ColumnTransformer (impute/scale/encode) → model → CV → hyperparameter tuning → evaluation.</t>
        </is>
      </c>
      <c r="E3" s="58" t="inlineStr">
        <is>
          <t>No data leakage (all preprocessing inside the Pipeline); cross-validated metrics reported; model persisted with joblib.</t>
        </is>
      </c>
      <c r="F3" s="17" t="inlineStr">
        <is>
          <t>Not Started</t>
        </is>
      </c>
      <c r="G3" s="58" t="n"/>
    </row>
    <row r="4" ht="70" customHeight="1">
      <c r="A4" s="17" t="n">
        <v>3</v>
      </c>
      <c r="B4" s="17" t="inlineStr">
        <is>
          <t>M3</t>
        </is>
      </c>
      <c r="C4" s="58" t="inlineStr">
        <is>
          <t>CNN transfer-learning image classifier → AWS Lambda</t>
        </is>
      </c>
      <c r="D4" s="58" t="inlineStr">
        <is>
          <t>Fine-tune a pretrained CNN (e.g. ResNet) on a small dataset in PyTorch; export and deploy inference behind AWS Lambda + API Gateway.</t>
        </is>
      </c>
      <c r="E4" s="58" t="inlineStr">
        <is>
          <t>Validation accuracy beats a from-scratch baseline; live HTTPS endpoint returns predictions; cold-start noted.</t>
        </is>
      </c>
      <c r="F4" s="17" t="inlineStr">
        <is>
          <t>Not Started</t>
        </is>
      </c>
      <c r="G4" s="58" t="n"/>
    </row>
    <row r="5" ht="70" customHeight="1">
      <c r="A5" s="17" t="n">
        <v>4</v>
      </c>
      <c r="B5" s="17" t="inlineStr">
        <is>
          <t>M4</t>
        </is>
      </c>
      <c r="C5" s="58" t="inlineStr">
        <is>
          <t>RAG chatbot on AWS Bedrock + vector store</t>
        </is>
      </c>
      <c r="D5" s="58" t="inlineStr">
        <is>
          <t>Ingest a document set → chunk → embed → store in a vector DB → retrieve → generate grounded answers with citations via Claude on Bedrock.</t>
        </is>
      </c>
      <c r="E5" s="58" t="inlineStr">
        <is>
          <t>Answers cite sources; a small eval harness scores faithfulness &amp; relevance; handles 'I don't know' gracefully.</t>
        </is>
      </c>
      <c r="F5" s="17" t="inlineStr">
        <is>
          <t>Not Started</t>
        </is>
      </c>
      <c r="G5" s="58" t="n"/>
    </row>
    <row r="6" ht="70" customHeight="1">
      <c r="A6" s="17" t="n">
        <v>5</v>
      </c>
      <c r="B6" s="17" t="inlineStr">
        <is>
          <t>M5</t>
        </is>
      </c>
      <c r="C6" s="58" t="inlineStr">
        <is>
          <t>Full MLOps pipeline on SageMaker w/ monitoring</t>
        </is>
      </c>
      <c r="D6" s="58" t="inlineStr">
        <is>
          <t>SageMaker Pipeline: train → register model → deploy endpoint → enable Model Monitor (data drift). Triggerable &amp; documented.</t>
        </is>
      </c>
      <c r="E6" s="58" t="inlineStr">
        <is>
          <t>Pipeline runs end-to-end; endpoint serves predictions; drift monitor configured; architecture diagram included.</t>
        </is>
      </c>
      <c r="F6" s="17" t="inlineStr">
        <is>
          <t>Not Started</t>
        </is>
      </c>
      <c r="G6" s="58" t="n"/>
    </row>
  </sheetData>
  <conditionalFormatting sqref="F2:F6">
    <cfRule type="cellIs" priority="1" operator="equal" dxfId="3">
      <formula>"Done"</formula>
    </cfRule>
    <cfRule type="cellIs" priority="2" operator="equal" dxfId="4">
      <formula>"In Progress"</formula>
    </cfRule>
  </conditionalFormatting>
  <dataValidations count="1">
    <dataValidation sqref="F2:F6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300"/>
    <outlinePr summaryBelow="1" summaryRight="1"/>
    <pageSetUpPr/>
  </sheetPr>
  <dimension ref="A2:G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40" customWidth="1" min="7" max="7"/>
  </cols>
  <sheetData>
    <row r="2" ht="26" customHeight="1">
      <c r="A2" s="59" t="inlineStr">
        <is>
          <t>AWS Certified Developer – Associate (DVA-C02)</t>
        </is>
      </c>
    </row>
    <row r="3">
      <c r="A3" s="60" t="inlineStr">
        <is>
          <t>#</t>
        </is>
      </c>
      <c r="B3" s="60" t="inlineStr">
        <is>
          <t>Date</t>
        </is>
      </c>
      <c r="C3" s="60" t="inlineStr">
        <is>
          <t>Provider/Set</t>
        </is>
      </c>
      <c r="D3" s="60" t="inlineStr">
        <is>
          <t>Score %</t>
        </is>
      </c>
      <c r="E3" s="60" t="inlineStr">
        <is>
          <t>Pass (72%)?</t>
        </is>
      </c>
      <c r="F3" s="60" t="inlineStr">
        <is>
          <t>Ready (85%+)?</t>
        </is>
      </c>
      <c r="G3" s="60" t="inlineStr">
        <is>
          <t>Weak areas to revisit</t>
        </is>
      </c>
    </row>
    <row r="4">
      <c r="A4" s="61" t="n">
        <v>1</v>
      </c>
      <c r="B4" s="17" t="n"/>
      <c r="C4" s="17" t="n"/>
      <c r="D4" s="62" t="n"/>
      <c r="E4" s="17">
        <f>IF(D4="","",IF(D4&gt;=72,"PASS","below"))</f>
        <v/>
      </c>
      <c r="F4" s="17">
        <f>IF(D4="","",IF(D4&gt;=85,"READY","keep going"))</f>
        <v/>
      </c>
      <c r="G4" s="58" t="n"/>
    </row>
    <row r="5">
      <c r="A5" s="61" t="n">
        <v>2</v>
      </c>
      <c r="B5" s="17" t="n"/>
      <c r="C5" s="17" t="n"/>
      <c r="D5" s="62" t="n"/>
      <c r="E5" s="17">
        <f>IF(D5="","",IF(D5&gt;=72,"PASS","below"))</f>
        <v/>
      </c>
      <c r="F5" s="17">
        <f>IF(D5="","",IF(D5&gt;=85,"READY","keep going"))</f>
        <v/>
      </c>
      <c r="G5" s="58" t="n"/>
    </row>
    <row r="6">
      <c r="A6" s="61" t="n">
        <v>3</v>
      </c>
      <c r="B6" s="17" t="n"/>
      <c r="C6" s="17" t="n"/>
      <c r="D6" s="62" t="n"/>
      <c r="E6" s="17">
        <f>IF(D6="","",IF(D6&gt;=72,"PASS","below"))</f>
        <v/>
      </c>
      <c r="F6" s="17">
        <f>IF(D6="","",IF(D6&gt;=85,"READY","keep going"))</f>
        <v/>
      </c>
      <c r="G6" s="58" t="n"/>
    </row>
    <row r="7">
      <c r="A7" s="61" t="n">
        <v>4</v>
      </c>
      <c r="B7" s="17" t="n"/>
      <c r="C7" s="17" t="n"/>
      <c r="D7" s="62" t="n"/>
      <c r="E7" s="17">
        <f>IF(D7="","",IF(D7&gt;=72,"PASS","below"))</f>
        <v/>
      </c>
      <c r="F7" s="17">
        <f>IF(D7="","",IF(D7&gt;=85,"READY","keep going"))</f>
        <v/>
      </c>
      <c r="G7" s="58" t="n"/>
    </row>
    <row r="8">
      <c r="A8" s="61" t="n">
        <v>5</v>
      </c>
      <c r="B8" s="17" t="n"/>
      <c r="C8" s="17" t="n"/>
      <c r="D8" s="62" t="n"/>
      <c r="E8" s="17">
        <f>IF(D8="","",IF(D8&gt;=72,"PASS","below"))</f>
        <v/>
      </c>
      <c r="F8" s="17">
        <f>IF(D8="","",IF(D8&gt;=85,"READY","keep going"))</f>
        <v/>
      </c>
      <c r="G8" s="58" t="n"/>
    </row>
    <row r="9">
      <c r="A9" s="61" t="n">
        <v>6</v>
      </c>
      <c r="B9" s="17" t="n"/>
      <c r="C9" s="17" t="n"/>
      <c r="D9" s="62" t="n"/>
      <c r="E9" s="17">
        <f>IF(D9="","",IF(D9&gt;=72,"PASS","below"))</f>
        <v/>
      </c>
      <c r="F9" s="17">
        <f>IF(D9="","",IF(D9&gt;=85,"READY","keep going"))</f>
        <v/>
      </c>
      <c r="G9" s="58" t="n"/>
    </row>
    <row r="10">
      <c r="A10" s="61" t="n">
        <v>7</v>
      </c>
      <c r="B10" s="17" t="n"/>
      <c r="C10" s="17" t="n"/>
      <c r="D10" s="62" t="n"/>
      <c r="E10" s="17">
        <f>IF(D10="","",IF(D10&gt;=72,"PASS","below"))</f>
        <v/>
      </c>
      <c r="F10" s="17">
        <f>IF(D10="","",IF(D10&gt;=85,"READY","keep going"))</f>
        <v/>
      </c>
      <c r="G10" s="58" t="n"/>
    </row>
    <row r="11">
      <c r="A11" s="61" t="n">
        <v>8</v>
      </c>
      <c r="B11" s="17" t="n"/>
      <c r="C11" s="17" t="n"/>
      <c r="D11" s="62" t="n"/>
      <c r="E11" s="17">
        <f>IF(D11="","",IF(D11&gt;=72,"PASS","below"))</f>
        <v/>
      </c>
      <c r="F11" s="17">
        <f>IF(D11="","",IF(D11&gt;=85,"READY","keep going"))</f>
        <v/>
      </c>
      <c r="G11" s="58" t="n"/>
    </row>
    <row r="12">
      <c r="A12" s="63" t="inlineStr">
        <is>
          <t>🎯 Target exam date: Thu 24 Sep 2026.  Rule of thumb: book the real exam only after 2 consecutive practice exams ≥ 85%.</t>
        </is>
      </c>
    </row>
    <row r="14" ht="26" customHeight="1">
      <c r="A14" s="64" t="inlineStr">
        <is>
          <t>AWS Certified Solutions Architect – Associate (SAA-C03)</t>
        </is>
      </c>
    </row>
    <row r="15">
      <c r="A15" s="60" t="inlineStr">
        <is>
          <t>#</t>
        </is>
      </c>
      <c r="B15" s="60" t="inlineStr">
        <is>
          <t>Date</t>
        </is>
      </c>
      <c r="C15" s="60" t="inlineStr">
        <is>
          <t>Provider/Set</t>
        </is>
      </c>
      <c r="D15" s="60" t="inlineStr">
        <is>
          <t>Score %</t>
        </is>
      </c>
      <c r="E15" s="60" t="inlineStr">
        <is>
          <t>Pass (72%)?</t>
        </is>
      </c>
      <c r="F15" s="60" t="inlineStr">
        <is>
          <t>Ready (85%+)?</t>
        </is>
      </c>
      <c r="G15" s="60" t="inlineStr">
        <is>
          <t>Weak areas to revisit</t>
        </is>
      </c>
    </row>
    <row r="16">
      <c r="A16" s="61" t="n">
        <v>1</v>
      </c>
      <c r="B16" s="17" t="n"/>
      <c r="C16" s="17" t="n"/>
      <c r="D16" s="62" t="n"/>
      <c r="E16" s="17">
        <f>IF(D16="","",IF(D16&gt;=72,"PASS","below"))</f>
        <v/>
      </c>
      <c r="F16" s="17">
        <f>IF(D16="","",IF(D16&gt;=85,"READY","keep going"))</f>
        <v/>
      </c>
      <c r="G16" s="58" t="n"/>
    </row>
    <row r="17">
      <c r="A17" s="61" t="n">
        <v>2</v>
      </c>
      <c r="B17" s="17" t="n"/>
      <c r="C17" s="17" t="n"/>
      <c r="D17" s="62" t="n"/>
      <c r="E17" s="17">
        <f>IF(D17="","",IF(D17&gt;=72,"PASS","below"))</f>
        <v/>
      </c>
      <c r="F17" s="17">
        <f>IF(D17="","",IF(D17&gt;=85,"READY","keep going"))</f>
        <v/>
      </c>
      <c r="G17" s="58" t="n"/>
    </row>
    <row r="18">
      <c r="A18" s="61" t="n">
        <v>3</v>
      </c>
      <c r="B18" s="17" t="n"/>
      <c r="C18" s="17" t="n"/>
      <c r="D18" s="62" t="n"/>
      <c r="E18" s="17">
        <f>IF(D18="","",IF(D18&gt;=72,"PASS","below"))</f>
        <v/>
      </c>
      <c r="F18" s="17">
        <f>IF(D18="","",IF(D18&gt;=85,"READY","keep going"))</f>
        <v/>
      </c>
      <c r="G18" s="58" t="n"/>
    </row>
    <row r="19">
      <c r="A19" s="61" t="n">
        <v>4</v>
      </c>
      <c r="B19" s="17" t="n"/>
      <c r="C19" s="17" t="n"/>
      <c r="D19" s="62" t="n"/>
      <c r="E19" s="17">
        <f>IF(D19="","",IF(D19&gt;=72,"PASS","below"))</f>
        <v/>
      </c>
      <c r="F19" s="17">
        <f>IF(D19="","",IF(D19&gt;=85,"READY","keep going"))</f>
        <v/>
      </c>
      <c r="G19" s="58" t="n"/>
    </row>
    <row r="20">
      <c r="A20" s="61" t="n">
        <v>5</v>
      </c>
      <c r="B20" s="17" t="n"/>
      <c r="C20" s="17" t="n"/>
      <c r="D20" s="62" t="n"/>
      <c r="E20" s="17">
        <f>IF(D20="","",IF(D20&gt;=72,"PASS","below"))</f>
        <v/>
      </c>
      <c r="F20" s="17">
        <f>IF(D20="","",IF(D20&gt;=85,"READY","keep going"))</f>
        <v/>
      </c>
      <c r="G20" s="58" t="n"/>
    </row>
    <row r="21">
      <c r="A21" s="61" t="n">
        <v>6</v>
      </c>
      <c r="B21" s="17" t="n"/>
      <c r="C21" s="17" t="n"/>
      <c r="D21" s="62" t="n"/>
      <c r="E21" s="17">
        <f>IF(D21="","",IF(D21&gt;=72,"PASS","below"))</f>
        <v/>
      </c>
      <c r="F21" s="17">
        <f>IF(D21="","",IF(D21&gt;=85,"READY","keep going"))</f>
        <v/>
      </c>
      <c r="G21" s="58" t="n"/>
    </row>
    <row r="22">
      <c r="A22" s="61" t="n">
        <v>7</v>
      </c>
      <c r="B22" s="17" t="n"/>
      <c r="C22" s="17" t="n"/>
      <c r="D22" s="62" t="n"/>
      <c r="E22" s="17">
        <f>IF(D22="","",IF(D22&gt;=72,"PASS","below"))</f>
        <v/>
      </c>
      <c r="F22" s="17">
        <f>IF(D22="","",IF(D22&gt;=85,"READY","keep going"))</f>
        <v/>
      </c>
      <c r="G22" s="58" t="n"/>
    </row>
    <row r="23">
      <c r="A23" s="61" t="n">
        <v>8</v>
      </c>
      <c r="B23" s="17" t="n"/>
      <c r="C23" s="17" t="n"/>
      <c r="D23" s="62" t="n"/>
      <c r="E23" s="17">
        <f>IF(D23="","",IF(D23&gt;=72,"PASS","below"))</f>
        <v/>
      </c>
      <c r="F23" s="17">
        <f>IF(D23="","",IF(D23&gt;=85,"READY","keep going"))</f>
        <v/>
      </c>
      <c r="G23" s="58" t="n"/>
    </row>
    <row r="24">
      <c r="A24" s="63" t="inlineStr">
        <is>
          <t>🎯 Target exam date: Thu 12 Nov 2026.  Rule of thumb: book the real exam only after 2 consecutive practice exams ≥ 85%.</t>
        </is>
      </c>
    </row>
  </sheetData>
  <mergeCells count="4">
    <mergeCell ref="A14:G14"/>
    <mergeCell ref="A2:G2"/>
    <mergeCell ref="A24:G24"/>
    <mergeCell ref="A12:G12"/>
  </mergeCells>
  <conditionalFormatting sqref="D4:D11">
    <cfRule type="cellIs" priority="1" operator="greaterThanOrEqual" dxfId="5">
      <formula>85</formula>
    </cfRule>
    <cfRule type="cellIs" priority="2" operator="between" dxfId="4">
      <formula>72</formula>
      <formula>84.9</formula>
    </cfRule>
    <cfRule type="cellIs" priority="3" operator="lessThan" dxfId="6">
      <formula>72</formula>
    </cfRule>
  </conditionalFormatting>
  <conditionalFormatting sqref="D16:D23">
    <cfRule type="cellIs" priority="4" operator="greaterThanOrEqual" dxfId="5">
      <formula>85</formula>
    </cfRule>
    <cfRule type="cellIs" priority="5" operator="between" dxfId="4">
      <formula>72</formula>
      <formula>84.9</formula>
    </cfRule>
    <cfRule type="cellIs" priority="6" operator="lessThan" dxfId="6">
      <formula>72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6472"/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42" customWidth="1" min="3" max="3"/>
    <col width="40" customWidth="1" min="4" max="4"/>
    <col width="46" customWidth="1" min="5" max="5"/>
    <col width="9" customWidth="1" min="6" max="6"/>
  </cols>
  <sheetData>
    <row r="1">
      <c r="A1" s="22" t="inlineStr">
        <is>
          <t>Pillar</t>
        </is>
      </c>
      <c r="B1" s="22" t="inlineStr">
        <is>
          <t>Type</t>
        </is>
      </c>
      <c r="C1" s="22" t="inlineStr">
        <is>
          <t>Resource</t>
        </is>
      </c>
      <c r="D1" s="22" t="inlineStr">
        <is>
          <t>Best for</t>
        </is>
      </c>
      <c r="E1" s="22" t="inlineStr">
        <is>
          <t>Link</t>
        </is>
      </c>
      <c r="F1" s="22" t="inlineStr">
        <is>
          <t>Priority</t>
        </is>
      </c>
    </row>
    <row r="2" ht="28" customHeight="1">
      <c r="A2" s="44" t="inlineStr">
        <is>
          <t>Math</t>
        </is>
      </c>
      <c r="B2" s="44" t="inlineStr">
        <is>
          <t>Free</t>
        </is>
      </c>
      <c r="C2" s="45" t="inlineStr">
        <is>
          <t>3Blue1Brown — Essence of Linear Algebra / Calculus</t>
        </is>
      </c>
      <c r="D2" s="45" t="inlineStr">
        <is>
          <t>Visual intuition for vectors, matrices, gradients</t>
        </is>
      </c>
      <c r="E2" s="45" t="inlineStr">
        <is>
          <t>https://www.3blue1brown.com/topics/linear-algebra</t>
        </is>
      </c>
      <c r="F2" s="44" t="inlineStr">
        <is>
          <t>★★★★★</t>
        </is>
      </c>
    </row>
    <row r="3" ht="28" customHeight="1">
      <c r="A3" s="44" t="inlineStr">
        <is>
          <t>Math</t>
        </is>
      </c>
      <c r="B3" s="44" t="inlineStr">
        <is>
          <t>Free</t>
        </is>
      </c>
      <c r="C3" s="45" t="inlineStr">
        <is>
          <t>Mathematics for Machine Learning (book)</t>
        </is>
      </c>
      <c r="D3" s="45" t="inlineStr">
        <is>
          <t>The ML-focused math reference</t>
        </is>
      </c>
      <c r="E3" s="45" t="inlineStr">
        <is>
          <t>https://mml-book.github.io</t>
        </is>
      </c>
      <c r="F3" s="44" t="inlineStr">
        <is>
          <t>★★★★★</t>
        </is>
      </c>
    </row>
    <row r="4" ht="28" customHeight="1">
      <c r="A4" s="44" t="inlineStr">
        <is>
          <t>Math</t>
        </is>
      </c>
      <c r="B4" s="44" t="inlineStr">
        <is>
          <t>Free</t>
        </is>
      </c>
      <c r="C4" s="45" t="inlineStr">
        <is>
          <t>MIT 18.06 Linear Algebra (Gilbert Strang)</t>
        </is>
      </c>
      <c r="D4" s="45" t="inlineStr">
        <is>
          <t>Rigorous linear algebra lectures</t>
        </is>
      </c>
      <c r="E4" s="45" t="inlineStr">
        <is>
          <t>https://ocw.mit.edu/courses/18-06-linear-algebra-spring-2010/</t>
        </is>
      </c>
      <c r="F4" s="44" t="inlineStr">
        <is>
          <t>★★★★☆</t>
        </is>
      </c>
    </row>
    <row r="5" ht="28" customHeight="1">
      <c r="A5" s="44" t="inlineStr">
        <is>
          <t>Math</t>
        </is>
      </c>
      <c r="B5" s="44" t="inlineStr">
        <is>
          <t>Free</t>
        </is>
      </c>
      <c r="C5" s="45" t="inlineStr">
        <is>
          <t>StatQuest (Josh Starmer)</t>
        </is>
      </c>
      <c r="D5" s="45" t="inlineStr">
        <is>
          <t>Stats &amp; ML concepts, clearly</t>
        </is>
      </c>
      <c r="E5" s="45" t="inlineStr">
        <is>
          <t>https://www.youtube.com/@statquest</t>
        </is>
      </c>
      <c r="F5" s="44" t="inlineStr">
        <is>
          <t>★★★★★</t>
        </is>
      </c>
    </row>
    <row r="6" ht="28" customHeight="1">
      <c r="A6" s="44" t="inlineStr">
        <is>
          <t>Math</t>
        </is>
      </c>
      <c r="B6" s="44" t="inlineStr">
        <is>
          <t>Paid</t>
        </is>
      </c>
      <c r="C6" s="45" t="inlineStr">
        <is>
          <t>Mathematics for ML — Coursera Specialization</t>
        </is>
      </c>
      <c r="D6" s="45" t="inlineStr">
        <is>
          <t>Structured math-for-ML path</t>
        </is>
      </c>
      <c r="E6" s="45" t="inlineStr">
        <is>
          <t>https://www.coursera.org/specializations/mathematics-machine-learning</t>
        </is>
      </c>
      <c r="F6" s="44" t="inlineStr">
        <is>
          <t>★★★★☆</t>
        </is>
      </c>
    </row>
    <row r="7" ht="28" customHeight="1">
      <c r="A7" s="47" t="inlineStr">
        <is>
          <t>Python</t>
        </is>
      </c>
      <c r="B7" s="47" t="inlineStr">
        <is>
          <t>Free</t>
        </is>
      </c>
      <c r="C7" s="48" t="inlineStr">
        <is>
          <t>Python Data Science Handbook (VanderPlas)</t>
        </is>
      </c>
      <c r="D7" s="48" t="inlineStr">
        <is>
          <t>NumPy/Pandas/sklearn reference</t>
        </is>
      </c>
      <c r="E7" s="48" t="inlineStr">
        <is>
          <t>https://jakevdp.github.io/PythonDataScienceHandbook/</t>
        </is>
      </c>
      <c r="F7" s="47" t="inlineStr">
        <is>
          <t>★★★★★</t>
        </is>
      </c>
    </row>
    <row r="8" ht="28" customHeight="1">
      <c r="A8" s="47" t="inlineStr">
        <is>
          <t>Python</t>
        </is>
      </c>
      <c r="B8" s="47" t="inlineStr">
        <is>
          <t>Free</t>
        </is>
      </c>
      <c r="C8" s="48" t="inlineStr">
        <is>
          <t>Real Python</t>
        </is>
      </c>
      <c r="D8" s="48" t="inlineStr">
        <is>
          <t>Idiomatic Python how-tos</t>
        </is>
      </c>
      <c r="E8" s="48" t="inlineStr">
        <is>
          <t>https://realpython.com</t>
        </is>
      </c>
      <c r="F8" s="47" t="inlineStr">
        <is>
          <t>★★★★☆</t>
        </is>
      </c>
    </row>
    <row r="9" ht="28" customHeight="1">
      <c r="A9" s="47" t="inlineStr">
        <is>
          <t>Python</t>
        </is>
      </c>
      <c r="B9" s="47" t="inlineStr">
        <is>
          <t>Paid</t>
        </is>
      </c>
      <c r="C9" s="48" t="inlineStr">
        <is>
          <t>Fluent Python (Ramalho)</t>
        </is>
      </c>
      <c r="D9" s="48" t="inlineStr">
        <is>
          <t>Deep, idiomatic Python</t>
        </is>
      </c>
      <c r="E9" s="48" t="inlineStr">
        <is>
          <t>https://www.oreilly.com/library/view/fluent-python-2nd/9781492056348/</t>
        </is>
      </c>
      <c r="F9" s="47" t="inlineStr">
        <is>
          <t>★★★★★</t>
        </is>
      </c>
    </row>
    <row r="10" ht="28" customHeight="1">
      <c r="A10" s="50" t="inlineStr">
        <is>
          <t>ML/DL</t>
        </is>
      </c>
      <c r="B10" s="50" t="inlineStr">
        <is>
          <t>Free</t>
        </is>
      </c>
      <c r="C10" s="51" t="inlineStr">
        <is>
          <t>Stanford CS229 — Machine Learning</t>
        </is>
      </c>
      <c r="D10" s="51" t="inlineStr">
        <is>
          <t>Classical ML theory</t>
        </is>
      </c>
      <c r="E10" s="51" t="inlineStr">
        <is>
          <t>https://cs229.stanford.edu/</t>
        </is>
      </c>
      <c r="F10" s="50" t="inlineStr">
        <is>
          <t>★★★★★</t>
        </is>
      </c>
    </row>
    <row r="11" ht="28" customHeight="1">
      <c r="A11" s="50" t="inlineStr">
        <is>
          <t>ML/DL</t>
        </is>
      </c>
      <c r="B11" s="50" t="inlineStr">
        <is>
          <t>Free</t>
        </is>
      </c>
      <c r="C11" s="51" t="inlineStr">
        <is>
          <t>Stanford CS231n — CNNs for Vision</t>
        </is>
      </c>
      <c r="D11" s="51" t="inlineStr">
        <is>
          <t>The canonical CNN course</t>
        </is>
      </c>
      <c r="E11" s="51" t="inlineStr">
        <is>
          <t>https://cs231n.stanford.edu/</t>
        </is>
      </c>
      <c r="F11" s="50" t="inlineStr">
        <is>
          <t>★★★★★</t>
        </is>
      </c>
    </row>
    <row r="12" ht="28" customHeight="1">
      <c r="A12" s="50" t="inlineStr">
        <is>
          <t>ML/DL</t>
        </is>
      </c>
      <c r="B12" s="50" t="inlineStr">
        <is>
          <t>Free</t>
        </is>
      </c>
      <c r="C12" s="51" t="inlineStr">
        <is>
          <t>fast.ai — Practical Deep Learning</t>
        </is>
      </c>
      <c r="D12" s="51" t="inlineStr">
        <is>
          <t>Top-down, code-first DL</t>
        </is>
      </c>
      <c r="E12" s="51" t="inlineStr">
        <is>
          <t>https://course.fast.ai/</t>
        </is>
      </c>
      <c r="F12" s="50" t="inlineStr">
        <is>
          <t>★★★★★</t>
        </is>
      </c>
    </row>
    <row r="13" ht="28" customHeight="1">
      <c r="A13" s="50" t="inlineStr">
        <is>
          <t>ML/DL</t>
        </is>
      </c>
      <c r="B13" s="50" t="inlineStr">
        <is>
          <t>Free</t>
        </is>
      </c>
      <c r="C13" s="51" t="inlineStr">
        <is>
          <t>Karpathy — Neural Networks: Zero to Hero</t>
        </is>
      </c>
      <c r="D13" s="51" t="inlineStr">
        <is>
          <t>Build NNs &amp; GPT from scratch</t>
        </is>
      </c>
      <c r="E13" s="51" t="inlineStr">
        <is>
          <t>https://karpathy.ai/zero-to-hero.html</t>
        </is>
      </c>
      <c r="F13" s="50" t="inlineStr">
        <is>
          <t>★★★★★</t>
        </is>
      </c>
    </row>
    <row r="14" ht="28" customHeight="1">
      <c r="A14" s="50" t="inlineStr">
        <is>
          <t>ML/DL</t>
        </is>
      </c>
      <c r="B14" s="50" t="inlineStr">
        <is>
          <t>Free</t>
        </is>
      </c>
      <c r="C14" s="51" t="inlineStr">
        <is>
          <t>The Illustrated Transformer (Jay Alammar)</t>
        </is>
      </c>
      <c r="D14" s="51" t="inlineStr">
        <is>
          <t>Visual transformer intuition</t>
        </is>
      </c>
      <c r="E14" s="51" t="inlineStr">
        <is>
          <t>https://jalammar.github.io/illustrated-transformer/</t>
        </is>
      </c>
      <c r="F14" s="50" t="inlineStr">
        <is>
          <t>★★★★★</t>
        </is>
      </c>
    </row>
    <row r="15" ht="28" customHeight="1">
      <c r="A15" s="50" t="inlineStr">
        <is>
          <t>ML/DL</t>
        </is>
      </c>
      <c r="B15" s="50" t="inlineStr">
        <is>
          <t>Free</t>
        </is>
      </c>
      <c r="C15" s="51" t="inlineStr">
        <is>
          <t>Deep Learning Book (Goodfellow et al.)</t>
        </is>
      </c>
      <c r="D15" s="51" t="inlineStr">
        <is>
          <t>DL theory reference</t>
        </is>
      </c>
      <c r="E15" s="51" t="inlineStr">
        <is>
          <t>https://www.deeplearningbook.org/</t>
        </is>
      </c>
      <c r="F15" s="50" t="inlineStr">
        <is>
          <t>★★★★☆</t>
        </is>
      </c>
    </row>
    <row r="16" ht="28" customHeight="1">
      <c r="A16" s="50" t="inlineStr">
        <is>
          <t>ML/DL</t>
        </is>
      </c>
      <c r="B16" s="50" t="inlineStr">
        <is>
          <t>Free</t>
        </is>
      </c>
      <c r="C16" s="51" t="inlineStr">
        <is>
          <t>Sutton &amp; Barto — RL: An Introduction</t>
        </is>
      </c>
      <c r="D16" s="51" t="inlineStr">
        <is>
          <t>RL bible (free PDF)</t>
        </is>
      </c>
      <c r="E16" s="51" t="inlineStr">
        <is>
          <t>http://incompleteideas.net/book/the-book.html</t>
        </is>
      </c>
      <c r="F16" s="50" t="inlineStr">
        <is>
          <t>★★★★★</t>
        </is>
      </c>
    </row>
    <row r="17" ht="28" customHeight="1">
      <c r="A17" s="50" t="inlineStr">
        <is>
          <t>ML/DL</t>
        </is>
      </c>
      <c r="B17" s="50" t="inlineStr">
        <is>
          <t>Paid</t>
        </is>
      </c>
      <c r="C17" s="51" t="inlineStr">
        <is>
          <t>DeepLearning.AI — Deep Learning Specialization</t>
        </is>
      </c>
      <c r="D17" s="51" t="inlineStr">
        <is>
          <t>Structured DL fundamentals</t>
        </is>
      </c>
      <c r="E17" s="51" t="inlineStr">
        <is>
          <t>https://www.coursera.org/specializations/deep-learning</t>
        </is>
      </c>
      <c r="F17" s="50" t="inlineStr">
        <is>
          <t>★★★★★</t>
        </is>
      </c>
    </row>
    <row r="18" ht="28" customHeight="1">
      <c r="A18" s="50" t="inlineStr">
        <is>
          <t>ML/DL</t>
        </is>
      </c>
      <c r="B18" s="50" t="inlineStr">
        <is>
          <t>Paid</t>
        </is>
      </c>
      <c r="C18" s="51" t="inlineStr">
        <is>
          <t>Hands-On ML (Géron) — book</t>
        </is>
      </c>
      <c r="D18" s="51" t="inlineStr">
        <is>
          <t>Practical sklearn+Keras+TF</t>
        </is>
      </c>
      <c r="E18" s="51" t="inlineStr">
        <is>
          <t>https://www.oreilly.com/library/view/hands-on-machine-learning/9781098125967/</t>
        </is>
      </c>
      <c r="F18" s="50" t="inlineStr">
        <is>
          <t>★★★★★</t>
        </is>
      </c>
    </row>
    <row r="19" ht="28" customHeight="1">
      <c r="A19" s="53" t="inlineStr">
        <is>
          <t>AI Eng</t>
        </is>
      </c>
      <c r="B19" s="53" t="inlineStr">
        <is>
          <t>Free</t>
        </is>
      </c>
      <c r="C19" s="54" t="inlineStr">
        <is>
          <t>Anthropic Docs + Cookbook</t>
        </is>
      </c>
      <c r="D19" s="54" t="inlineStr">
        <is>
          <t>Claude API, tools, RAG, agents</t>
        </is>
      </c>
      <c r="E19" s="54" t="inlineStr">
        <is>
          <t>https://docs.anthropic.com</t>
        </is>
      </c>
      <c r="F19" s="53" t="inlineStr">
        <is>
          <t>★★★★★</t>
        </is>
      </c>
    </row>
    <row r="20" ht="28" customHeight="1">
      <c r="A20" s="53" t="inlineStr">
        <is>
          <t>AI Eng</t>
        </is>
      </c>
      <c r="B20" s="53" t="inlineStr">
        <is>
          <t>Free</t>
        </is>
      </c>
      <c r="C20" s="54" t="inlineStr">
        <is>
          <t>DeepLearning.AI Short Courses</t>
        </is>
      </c>
      <c r="D20" s="54" t="inlineStr">
        <is>
          <t>RAG, agents, LLM apps (many free)</t>
        </is>
      </c>
      <c r="E20" s="54" t="inlineStr">
        <is>
          <t>https://learn.deeplearning.ai/</t>
        </is>
      </c>
      <c r="F20" s="53" t="inlineStr">
        <is>
          <t>★★★★★</t>
        </is>
      </c>
    </row>
    <row r="21" ht="28" customHeight="1">
      <c r="A21" s="53" t="inlineStr">
        <is>
          <t>AI Eng</t>
        </is>
      </c>
      <c r="B21" s="53" t="inlineStr">
        <is>
          <t>Free</t>
        </is>
      </c>
      <c r="C21" s="54" t="inlineStr">
        <is>
          <t>Hugging Face — LLM/NLP Course</t>
        </is>
      </c>
      <c r="D21" s="54" t="inlineStr">
        <is>
          <t>Transformers in practice</t>
        </is>
      </c>
      <c r="E21" s="54" t="inlineStr">
        <is>
          <t>https://huggingface.co/learn</t>
        </is>
      </c>
      <c r="F21" s="53" t="inlineStr">
        <is>
          <t>★★★★★</t>
        </is>
      </c>
    </row>
    <row r="22" ht="28" customHeight="1">
      <c r="A22" s="53" t="inlineStr">
        <is>
          <t>AI Eng</t>
        </is>
      </c>
      <c r="B22" s="53" t="inlineStr">
        <is>
          <t>Paid</t>
        </is>
      </c>
      <c r="C22" s="54" t="inlineStr">
        <is>
          <t>Designing ML Systems / AI Engineering (Chip Huyen)</t>
        </is>
      </c>
      <c r="D22" s="54" t="inlineStr">
        <is>
          <t>Production ML &amp; AI eng</t>
        </is>
      </c>
      <c r="E22" s="54" t="inlineStr">
        <is>
          <t>https://www.oreilly.com/library/view/ai-engineering/9781098166298/</t>
        </is>
      </c>
      <c r="F22" s="53" t="inlineStr">
        <is>
          <t>★★★★★</t>
        </is>
      </c>
    </row>
    <row r="23" ht="28" customHeight="1">
      <c r="A23" s="56" t="inlineStr">
        <is>
          <t>AWS</t>
        </is>
      </c>
      <c r="B23" s="56" t="inlineStr">
        <is>
          <t>Free</t>
        </is>
      </c>
      <c r="C23" s="57" t="inlineStr">
        <is>
          <t>AWS Skill Builder</t>
        </is>
      </c>
      <c r="D23" s="57" t="inlineStr">
        <is>
          <t>Official courses + practice</t>
        </is>
      </c>
      <c r="E23" s="57" t="inlineStr">
        <is>
          <t>https://skillbuilder.aws/</t>
        </is>
      </c>
      <c r="F23" s="56" t="inlineStr">
        <is>
          <t>★★★★★</t>
        </is>
      </c>
    </row>
    <row r="24" ht="28" customHeight="1">
      <c r="A24" s="56" t="inlineStr">
        <is>
          <t>AWS</t>
        </is>
      </c>
      <c r="B24" s="56" t="inlineStr">
        <is>
          <t>Free</t>
        </is>
      </c>
      <c r="C24" s="57" t="inlineStr">
        <is>
          <t>AWS Workshops</t>
        </is>
      </c>
      <c r="D24" s="57" t="inlineStr">
        <is>
          <t>Hands-on labs</t>
        </is>
      </c>
      <c r="E24" s="57" t="inlineStr">
        <is>
          <t>https://workshops.aws/</t>
        </is>
      </c>
      <c r="F24" s="56" t="inlineStr">
        <is>
          <t>★★★★☆</t>
        </is>
      </c>
    </row>
    <row r="25" ht="28" customHeight="1">
      <c r="A25" s="56" t="inlineStr">
        <is>
          <t>AWS</t>
        </is>
      </c>
      <c r="B25" s="56" t="inlineStr">
        <is>
          <t>Free</t>
        </is>
      </c>
      <c r="C25" s="57" t="inlineStr">
        <is>
          <t>AWS Well-Architected Framework</t>
        </is>
      </c>
      <c r="D25" s="57" t="inlineStr">
        <is>
          <t>Architecture best practices</t>
        </is>
      </c>
      <c r="E25" s="57" t="inlineStr">
        <is>
          <t>https://aws.amazon.com/architecture/well-architected/</t>
        </is>
      </c>
      <c r="F25" s="56" t="inlineStr">
        <is>
          <t>★★★★★</t>
        </is>
      </c>
    </row>
    <row r="26" ht="28" customHeight="1">
      <c r="A26" s="56" t="inlineStr">
        <is>
          <t>AWS</t>
        </is>
      </c>
      <c r="B26" s="56" t="inlineStr">
        <is>
          <t>Paid</t>
        </is>
      </c>
      <c r="C26" s="57" t="inlineStr">
        <is>
          <t>Stephane Maarek — DVA-C02 &amp; SAA-C03 (Udemy)</t>
        </is>
      </c>
      <c r="D26" s="57" t="inlineStr">
        <is>
          <t>Best video courses for both certs</t>
        </is>
      </c>
      <c r="E26" s="57" t="inlineStr">
        <is>
          <t>https://www.udemy.com/user/stephane-maarek/</t>
        </is>
      </c>
      <c r="F26" s="56" t="inlineStr">
        <is>
          <t>★★★★★</t>
        </is>
      </c>
    </row>
    <row r="27" ht="28" customHeight="1">
      <c r="A27" s="56" t="inlineStr">
        <is>
          <t>AWS</t>
        </is>
      </c>
      <c r="B27" s="56" t="inlineStr">
        <is>
          <t>Paid</t>
        </is>
      </c>
      <c r="C27" s="57" t="inlineStr">
        <is>
          <t>Tutorials Dojo (Jon Bonso) — Practice Exams</t>
        </is>
      </c>
      <c r="D27" s="57" t="inlineStr">
        <is>
          <t>Best practice exams</t>
        </is>
      </c>
      <c r="E27" s="57" t="inlineStr">
        <is>
          <t>https://tutorialsdojo.com/</t>
        </is>
      </c>
      <c r="F27" s="56" t="inlineStr">
        <is>
          <t>★★★★★</t>
        </is>
      </c>
    </row>
    <row r="28" ht="28" customHeight="1">
      <c r="A28" s="56" t="inlineStr">
        <is>
          <t>AWS</t>
        </is>
      </c>
      <c r="B28" s="56" t="inlineStr">
        <is>
          <t>Paid</t>
        </is>
      </c>
      <c r="C28" s="57" t="inlineStr">
        <is>
          <t>Adrian Cantrill — DVA/SAA courses</t>
        </is>
      </c>
      <c r="D28" s="57" t="inlineStr">
        <is>
          <t>Deepest AWS courses</t>
        </is>
      </c>
      <c r="E28" s="57" t="inlineStr">
        <is>
          <t>https://learn.cantrill.io/</t>
        </is>
      </c>
      <c r="F28" s="56" t="inlineStr">
        <is>
          <t>★★★★★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2026-06-29T22:44:23Z</dcterms:created>
  <dcterms:modified xsi:type="dcterms:W3CDTF">2026-06-29T22:44:23Z</dcterms:modified>
</cp:coreProperties>
</file>